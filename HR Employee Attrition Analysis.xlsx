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shu\Downloads\"/>
    </mc:Choice>
  </mc:AlternateContent>
  <xr:revisionPtr revIDLastSave="0" documentId="13_ncr:1_{E7DD8A9B-2F71-434A-AD08-3A9DF9F8C1D0}" xr6:coauthVersionLast="36" xr6:coauthVersionMax="36" xr10:uidLastSave="{00000000-0000-0000-0000-000000000000}"/>
  <bookViews>
    <workbookView xWindow="0" yWindow="0" windowWidth="19200" windowHeight="7520" activeTab="3" xr2:uid="{00000000-000D-0000-FFFF-FFFF00000000}"/>
  </bookViews>
  <sheets>
    <sheet name="Data" sheetId="1" r:id="rId1"/>
    <sheet name="Calculation" sheetId="2" r:id="rId2"/>
    <sheet name="Pivot Table" sheetId="3" r:id="rId3"/>
    <sheet name="Dashboard" sheetId="5" r:id="rId4"/>
  </sheets>
  <definedNames>
    <definedName name="Slicer_Age_Group">#N/A</definedName>
    <definedName name="Slicer_Department">#N/A</definedName>
    <definedName name="Slicer_Gender">#N/A</definedName>
    <definedName name="Slicer_Job_Role">#N/A</definedName>
    <definedName name="Slicer_Marital_Status">#N/A</definedName>
    <definedName name="Slicer_Salary_Band">#N/A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2" l="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4" i="2"/>
  <c r="O2" i="1"/>
  <c r="O6" i="1"/>
  <c r="O3" i="1"/>
  <c r="M4" i="2" l="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O4" i="1"/>
  <c r="O5"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F4" i="2" s="1"/>
  <c r="H4" i="2" s="1"/>
  <c r="N98" i="1"/>
  <c r="N99" i="1"/>
  <c r="N100" i="1"/>
  <c r="N101" i="1"/>
</calcChain>
</file>

<file path=xl/sharedStrings.xml><?xml version="1.0" encoding="utf-8"?>
<sst xmlns="http://schemas.openxmlformats.org/spreadsheetml/2006/main" count="1078" uniqueCount="262">
  <si>
    <t>Employee ID</t>
  </si>
  <si>
    <t>Name</t>
  </si>
  <si>
    <t>Age</t>
  </si>
  <si>
    <t>Gender</t>
  </si>
  <si>
    <t>Department</t>
  </si>
  <si>
    <t>Job Role</t>
  </si>
  <si>
    <t>Education</t>
  </si>
  <si>
    <t>Education Field</t>
  </si>
  <si>
    <t>Marital Status</t>
  </si>
  <si>
    <t>Salary</t>
  </si>
  <si>
    <t>Job Satisfaction</t>
  </si>
  <si>
    <t>Attrition</t>
  </si>
  <si>
    <t>EMP001</t>
  </si>
  <si>
    <t>EMP002</t>
  </si>
  <si>
    <t>EMP003</t>
  </si>
  <si>
    <t>EMP004</t>
  </si>
  <si>
    <t>EMP005</t>
  </si>
  <si>
    <t>EMP006</t>
  </si>
  <si>
    <t>EMP007</t>
  </si>
  <si>
    <t>EMP008</t>
  </si>
  <si>
    <t>EMP009</t>
  </si>
  <si>
    <t>EMP010</t>
  </si>
  <si>
    <t>EMP011</t>
  </si>
  <si>
    <t>EMP012</t>
  </si>
  <si>
    <t>EMP013</t>
  </si>
  <si>
    <t>EMP014</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</si>
  <si>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</si>
  <si>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</si>
  <si>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</si>
  <si>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</si>
  <si>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</si>
  <si>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</si>
  <si>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</si>
  <si>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</si>
  <si>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</si>
  <si>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</si>
  <si>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</si>
  <si>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</si>
  <si>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</si>
  <si>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</si>
  <si>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</si>
  <si>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</si>
  <si>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</si>
  <si>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</si>
  <si>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</si>
  <si>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</si>
  <si>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</si>
  <si>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</si>
  <si>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</si>
  <si>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</si>
  <si>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</si>
  <si>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</si>
  <si>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</si>
  <si>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</si>
  <si>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</si>
  <si>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</si>
  <si>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</si>
  <si>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</si>
  <si>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</si>
  <si>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</si>
  <si>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</si>
  <si>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</si>
  <si>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</si>
  <si>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</si>
  <si>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</si>
  <si>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</si>
  <si>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</si>
  <si>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</si>
  <si>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</si>
  <si>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</si>
  <si>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</si>
  <si>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</si>
  <si>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</si>
  <si>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</si>
  <si>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</si>
  <si>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</si>
  <si>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</si>
  <si>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</si>
  <si>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</si>
  <si>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</si>
  <si>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</si>
  <si>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</si>
  <si>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</si>
  <si>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</si>
  <si>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</si>
  <si>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</si>
  <si>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</si>
  <si>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</si>
  <si>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</si>
  <si>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</si>
  <si>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</si>
  <si>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</si>
  <si>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</si>
  <si>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</si>
  <si>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</si>
  <si>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</si>
  <si>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</si>
  <si>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</si>
  <si>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</si>
  <si>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</si>
  <si>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</si>
  <si>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</si>
  <si>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</si>
  <si>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</si>
  <si>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</si>
  <si>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</si>
  <si>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</si>
  <si>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</si>
  <si>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</si>
  <si>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</si>
  <si>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</si>
  <si>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</si>
  <si>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Lori Camacho</t>
  </si>
  <si>
    <t>April Evans</t>
  </si>
  <si>
    <t>Chase Garcia</t>
  </si>
  <si>
    <t>Andrea Cook</t>
  </si>
  <si>
    <t>Anne Bullock</t>
  </si>
  <si>
    <t>Lisa Hester</t>
  </si>
  <si>
    <t>Tanya Brown</t>
  </si>
  <si>
    <t>Crystal Thompson</t>
  </si>
  <si>
    <t>Kyle Montgomery</t>
  </si>
  <si>
    <t>Anthony Houston</t>
  </si>
  <si>
    <t>Jeffrey Lucas</t>
  </si>
  <si>
    <t>Kirk Hoffman</t>
  </si>
  <si>
    <t>Jennifer Kennedy</t>
  </si>
  <si>
    <t>Kelly Parker</t>
  </si>
  <si>
    <t>Shannon Hurley</t>
  </si>
  <si>
    <t>Denise Wright</t>
  </si>
  <si>
    <t>Sherry Fuller</t>
  </si>
  <si>
    <t>Donna Swanson</t>
  </si>
  <si>
    <t>Charles Peters</t>
  </si>
  <si>
    <t>Christina Roberts</t>
  </si>
  <si>
    <t>Joseph Fields</t>
  </si>
  <si>
    <t>Ashley Patterson</t>
  </si>
  <si>
    <t>Suzanne Medina</t>
  </si>
  <si>
    <t>Sherry Savage</t>
  </si>
  <si>
    <t>Heather Davis</t>
  </si>
  <si>
    <t>Jennifer Ray</t>
  </si>
  <si>
    <t>Zachary Schneider</t>
  </si>
  <si>
    <t>Ricky Ryan</t>
  </si>
  <si>
    <t>Mark Conner</t>
  </si>
  <si>
    <t>Benjamin Simpson</t>
  </si>
  <si>
    <t>Cristian Wright</t>
  </si>
  <si>
    <t>Andrew Kramer</t>
  </si>
  <si>
    <t>Jason Smith</t>
  </si>
  <si>
    <t>Shannon Nelson MD</t>
  </si>
  <si>
    <t>Luis Hampton</t>
  </si>
  <si>
    <t>Beth Chandler</t>
  </si>
  <si>
    <t>Diane Buchanan</t>
  </si>
  <si>
    <t>Stacy Perry</t>
  </si>
  <si>
    <t>James Fitzpatrick</t>
  </si>
  <si>
    <t>Gina Marshall</t>
  </si>
  <si>
    <t>Michael Hall</t>
  </si>
  <si>
    <t>Sarah Brown</t>
  </si>
  <si>
    <t>Gregory Massey</t>
  </si>
  <si>
    <t>Ryan Stokes</t>
  </si>
  <si>
    <t>Elizabeth Stanley</t>
  </si>
  <si>
    <t>David Morton</t>
  </si>
  <si>
    <t>Jorge Turner</t>
  </si>
  <si>
    <t>Lori Byrd</t>
  </si>
  <si>
    <t>Tina Ashley</t>
  </si>
  <si>
    <t>Raymond Reid</t>
  </si>
  <si>
    <t>Cassandra Adams MD</t>
  </si>
  <si>
    <t>Jennifer Macdonald</t>
  </si>
  <si>
    <t>Joseph Carlson</t>
  </si>
  <si>
    <t>Mark Green</t>
  </si>
  <si>
    <t>Natasha Trevino</t>
  </si>
  <si>
    <t>Meghan Richards</t>
  </si>
  <si>
    <t>William Glenn</t>
  </si>
  <si>
    <t>Robert Ross</t>
  </si>
  <si>
    <t>Julia Gomez</t>
  </si>
  <si>
    <t>Heather Aguilar</t>
  </si>
  <si>
    <t>Richard Jacobs</t>
  </si>
  <si>
    <t>Catherine Benjamin</t>
  </si>
  <si>
    <t>David Anthony</t>
  </si>
  <si>
    <t>Christina Hart</t>
  </si>
  <si>
    <t>Ashley Carey</t>
  </si>
  <si>
    <t>Phillip Davis</t>
  </si>
  <si>
    <t>James Calhoun</t>
  </si>
  <si>
    <t>Jessica Stuart</t>
  </si>
  <si>
    <t>Danielle Carr</t>
  </si>
  <si>
    <t>Christine Hester MD</t>
  </si>
  <si>
    <t>Trevor Rojas</t>
  </si>
  <si>
    <t>Scott Blackwell</t>
  </si>
  <si>
    <t>Carla Cross</t>
  </si>
  <si>
    <t>Michele Castaneda</t>
  </si>
  <si>
    <t>Adam Baker</t>
  </si>
  <si>
    <t>John Glover</t>
  </si>
  <si>
    <t>Isabella Ali</t>
  </si>
  <si>
    <t>Laura Mcdonald</t>
  </si>
  <si>
    <t>Nicole Parsons</t>
  </si>
  <si>
    <t>Gabriel Carpenter</t>
  </si>
  <si>
    <t>Daniel Campos</t>
  </si>
  <si>
    <t>Steven Brown</t>
  </si>
  <si>
    <t>Zachary Smith</t>
  </si>
  <si>
    <t>David Anderson</t>
  </si>
  <si>
    <t>Jennifer Mcclure</t>
  </si>
  <si>
    <t>Alyssa Watts</t>
  </si>
  <si>
    <t>Chad York</t>
  </si>
  <si>
    <t>Nicole Patton</t>
  </si>
  <si>
    <t>Nathaniel Johnson</t>
  </si>
  <si>
    <t>Steven Miller</t>
  </si>
  <si>
    <t>Adam Graham</t>
  </si>
  <si>
    <t>William Sanchez</t>
  </si>
  <si>
    <t>Cynthia Pruitt</t>
  </si>
  <si>
    <t>Stephanie Henderson PhD</t>
  </si>
  <si>
    <t>Daniel Burnett</t>
  </si>
  <si>
    <t>Nancy Mcclain</t>
  </si>
  <si>
    <t>Brendan Drake</t>
  </si>
  <si>
    <t>Clifford Graham</t>
  </si>
  <si>
    <t>Stacey Brown</t>
  </si>
  <si>
    <t>Megan Ford</t>
  </si>
  <si>
    <t>Female</t>
  </si>
  <si>
    <t>Male</t>
  </si>
  <si>
    <t>Marketing</t>
  </si>
  <si>
    <t>HR</t>
  </si>
  <si>
    <t>IT</t>
  </si>
  <si>
    <t>Operations</t>
  </si>
  <si>
    <t>Sales</t>
  </si>
  <si>
    <t>Finance</t>
  </si>
  <si>
    <t>Marketing Executive</t>
  </si>
  <si>
    <t>Recruiter</t>
  </si>
  <si>
    <t>Data Analyst</t>
  </si>
  <si>
    <t>Operations Executive</t>
  </si>
  <si>
    <t>HR Executive</t>
  </si>
  <si>
    <t>SEO Specialist</t>
  </si>
  <si>
    <t>Sales Executive</t>
  </si>
  <si>
    <t>Software Engineer</t>
  </si>
  <si>
    <t>Operations Manager</t>
  </si>
  <si>
    <t>HR Manager</t>
  </si>
  <si>
    <t>Sales Manager</t>
  </si>
  <si>
    <t>Accountant</t>
  </si>
  <si>
    <t>Financial Analyst</t>
  </si>
  <si>
    <t>Bachelor's</t>
  </si>
  <si>
    <t>MBA</t>
  </si>
  <si>
    <t>Master's</t>
  </si>
  <si>
    <t>Business</t>
  </si>
  <si>
    <t>Single</t>
  </si>
  <si>
    <t>Divorced</t>
  </si>
  <si>
    <t>Married</t>
  </si>
  <si>
    <t>Medium</t>
  </si>
  <si>
    <t>Low</t>
  </si>
  <si>
    <t>High</t>
  </si>
  <si>
    <t>No</t>
  </si>
  <si>
    <t>Yes</t>
  </si>
  <si>
    <t>Attrition Flag</t>
  </si>
  <si>
    <t>Age Group</t>
  </si>
  <si>
    <t>Salary Band</t>
  </si>
  <si>
    <t>Total Attrition</t>
  </si>
  <si>
    <t>Average Age</t>
  </si>
  <si>
    <t>Job Satisfaction Flag</t>
  </si>
  <si>
    <t>25-34</t>
  </si>
  <si>
    <t>Row Labels</t>
  </si>
  <si>
    <t>Grand Total</t>
  </si>
  <si>
    <t>Sum of Attrition Flag</t>
  </si>
  <si>
    <t>35-44</t>
  </si>
  <si>
    <t>45+</t>
  </si>
  <si>
    <t>&lt;25</t>
  </si>
  <si>
    <t>Count of Attrition Flag</t>
  </si>
  <si>
    <t>Total Employees</t>
  </si>
  <si>
    <t>Attrition Rate</t>
  </si>
  <si>
    <t>Sum of Attrition Flag2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</si>
</sst>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5" x14ac:knownFonts="1">
    <font>
      <sz val="11"/>
      <color theme="1"/>
      <name val="Tw Cen MT"/>
      <family val="2"/>
      <scheme val="minor"/>
    </font>
    <font>
      <sz val="11"/>
      <color theme="1"/>
      <name val="Tw Cen MT"/>
      <family val="2"/>
      <scheme val="minor"/>
    </font>
    <font>
      <b/>
      <sz val="11"/>
      <color theme="0"/>
      <name val="Tw Cen MT"/>
      <family val="2"/>
      <scheme val="minor"/>
    </font>
    <font>
      <b/>
      <sz val="11"/>
      <color theme="1"/>
      <name val="Tw Cen MT"/>
      <family val="2"/>
      <scheme val="minor"/>
    </font>
    <font>
      <sz val="11"/>
      <color theme="0"/>
      <name val="Tw Cen MT"/>
      <family val="2"/>
      <scheme val="minor"/>
    </font>
  </fonts>
  <fills count="3">
    <fill>
      <patternFill patternType="none"/>
    </fill>
    <fill>
      <patternFill patternType="gray125"/>
    </fill>
    <fill>
      <patternFill patternType="solid">
        <fgColor theme="3" tint="-0.249977111117893"/>
        <bgColor indexed="64"/>
      </patternFill>
    </fill>
  </fills>
  <borders count="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0" borderId="0" xfId="0" applyBorder="1"/>
    <xf numFmtId="164" fontId="0" fillId="0" borderId="0" xfId="1" applyNumberFormat="1" applyFont="1" applyBorder="1"/>
    <xf numFmtId="1" fontId="0" fillId="0" borderId="0" xfId="2" applyNumberFormat="1" applyFont="1" applyBorder="1"/>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164" fontId="2" fillId="2" borderId="2" xfId="1" applyNumberFormat="1" applyFont="1" applyFill="1" applyBorder="1" applyAlignment="1">
      <alignment horizontal="center" vertical="top"/>
    </xf>
    <xf numFmtId="0" fontId="2" fillId="2" borderId="3" xfId="0" applyFont="1" applyFill="1" applyBorder="1" applyAlignment="1">
      <alignment horizontal="center" vertical="top"/>
    </xf>
    <xf numFmtId="1" fontId="2" fillId="2" borderId="4" xfId="2" applyNumberFormat="1" applyFont="1" applyFill="1" applyBorder="1" applyAlignment="1">
      <alignment horizontal="center" vertical="top"/>
    </xf>
    <xf numFmtId="9" fontId="0" fillId="0" borderId="0" xfId="2" applyFont="1"/>
    <xf numFmtId="2" fontId="0" fillId="0" borderId="0" xfId="0" applyNumberFormat="1" applyBorder="1" applyAlignment="1">
      <alignment horizontal="right"/>
    </xf>
    <xf numFmtId="1" fontId="0" fillId="0" borderId="0" xfId="0" applyNumberFormat="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2" borderId="0" xfId="0" applyFont="1" applyFill="1"/>
    <xf numFmtId="0" fontId="3" fillId="0" borderId="0" xfId="0" applyFont="1"/>
    <xf numFmtId="0" fontId="0" fillId="2" borderId="0" xfId="0" applyFill="1" applyAlignment="1"/>
    <xf numFmtId="10" fontId="0" fillId="0" borderId="0" xfId="2" applyNumberFormat="1" applyFont="1"/>
  </cellXfs>
  <cellStyles count="3">
    <cellStyle name="Currency" xfId="1" builtinId="4"/>
    <cellStyle name="Normal" xfId="0" builtinId="0"/>
    <cellStyle name="Percent" xfId="2" builtinId="5"/>
  </cellStyles>
  <dxfs count="9">
    <dxf>
      <numFmt numFmtId="0" formatCode="General"/>
    </dxf>
    <dxf>
      <numFmt numFmtId="0" formatCode="General"/>
    </dxf>
    <dxf>
      <numFmt numFmtId="0" formatCode="General"/>
    </dxf>
    <dxf>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Tw Cen MT"/>
        <family val="2"/>
        <scheme val="minor"/>
      </font>
      <numFmt numFmtId="164" formatCode="_-[$$-409]* #,##0.00_ ;_-[$$-409]* \-#,##0.00\ ;_-[$$-409]* &quot;-&quot;??_ ;_-@_ "/>
    </dxf>
    <dxf>
      <font>
        <b val="0"/>
        <i val="0"/>
        <strike val="0"/>
        <condense val="0"/>
        <extend val="0"/>
        <outline val="0"/>
        <shadow val="0"/>
        <u val="none"/>
        <vertAlign val="baseline"/>
        <sz val="11"/>
        <color theme="1"/>
        <name val="Tw Cen MT"/>
        <family val="2"/>
        <scheme val="minor"/>
      </font>
      <numFmt numFmtId="1" formatCode="0"/>
    </dxf>
    <dxf>
      <border diagonalUp="0" diagonalDown="0">
        <left style="medium">
          <color indexed="64"/>
        </left>
        <right style="medium">
          <color indexed="64"/>
        </right>
        <top style="medium">
          <color indexed="64"/>
        </top>
        <bottom style="medium">
          <color indexed="64"/>
        </bottom>
      </border>
    </dxf>
    <dxf>
      <border outline="0">
        <bottom style="thin">
          <color auto="1"/>
        </bottom>
      </border>
    </dxf>
    <dxf>
      <font>
        <b/>
        <i val="0"/>
        <strike val="0"/>
        <condense val="0"/>
        <extend val="0"/>
        <outline val="0"/>
        <shadow val="0"/>
        <u val="none"/>
        <vertAlign val="baseline"/>
        <sz val="11"/>
        <color theme="0"/>
        <name val="Tw Cen MT"/>
        <family val="2"/>
        <scheme val="minor"/>
      </font>
      <fill>
        <patternFill patternType="solid">
          <fgColor indexed="64"/>
          <bgColor theme="3"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5.png"/></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[Minor Project 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dLbl>
          <c:idx val="0"/>
          <c:layout>
            <c:manualLayout>
              <c:x val="-2.3076836959361035E-2"/>
              <c:y val="-2.4079558862481642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561558651322431"/>
                  <c:h val="0.14731563421828908"/>
                </c:manualLayout>
              </c15:layout>
            </c:ext>
          </c:extLst>
        </c:dLbl>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A46-48A5-9F9D-45BC44F8C6A3}"/>
              </c:ext>
            </c:extLst>
          </c:dPt>
          <c:dPt>
            <c:idx val="1"/>
            <c:bubble3D val="0"/>
            <c:spPr>
              <a:solidFill>
                <a:schemeClr val="accent2"/>
              </a:solidFill>
              <a:ln>
                <a:noFill/>
              </a:ln>
              <a:effectLst/>
            </c:spPr>
            <c:extLst>
              <c:ext xmlns:c16="http://schemas.microsoft.com/office/drawing/2014/chart" uri="{C3380CC4-5D6E-409C-BE32-E72D297353CC}">
                <c16:uniqueId val="{00000002-EA46-48A5-9F9D-45BC44F8C6A3}"/>
              </c:ext>
            </c:extLst>
          </c:dPt>
          <c:dPt>
            <c:idx val="2"/>
            <c:bubble3D val="0"/>
            <c:spPr>
              <a:solidFill>
                <a:schemeClr val="accent3"/>
              </a:solidFill>
              <a:ln>
                <a:noFill/>
              </a:ln>
              <a:effectLst/>
            </c:spPr>
            <c:extLst>
              <c:ext xmlns:c16="http://schemas.microsoft.com/office/drawing/2014/chart" uri="{C3380CC4-5D6E-409C-BE32-E72D297353CC}">
                <c16:uniqueId val="{00000003-EA46-48A5-9F9D-45BC44F8C6A3}"/>
              </c:ext>
            </c:extLst>
          </c:dPt>
          <c:dPt>
            <c:idx val="3"/>
            <c:bubble3D val="0"/>
            <c:spPr>
              <a:solidFill>
                <a:schemeClr val="accent4"/>
              </a:solidFill>
              <a:ln>
                <a:noFill/>
              </a:ln>
              <a:effectLst/>
            </c:spPr>
            <c:extLst>
              <c:ext xmlns:c16="http://schemas.microsoft.com/office/drawing/2014/chart" uri="{C3380CC4-5D6E-409C-BE32-E72D297353CC}">
                <c16:uniqueId val="{00000004-EA46-48A5-9F9D-45BC44F8C6A3}"/>
              </c:ext>
            </c:extLst>
          </c:dPt>
          <c:dPt>
            <c:idx val="4"/>
            <c:bubble3D val="0"/>
            <c:spPr>
              <a:solidFill>
                <a:schemeClr val="accent5"/>
              </a:solidFill>
              <a:ln>
                <a:noFill/>
              </a:ln>
              <a:effectLst/>
            </c:spPr>
            <c:extLst>
              <c:ext xmlns:c16="http://schemas.microsoft.com/office/drawing/2014/chart" uri="{C3380CC4-5D6E-409C-BE32-E72D297353CC}">
                <c16:uniqueId val="{00000005-EA46-48A5-9F9D-45BC44F8C6A3}"/>
              </c:ext>
            </c:extLst>
          </c:dPt>
          <c:dPt>
            <c:idx val="5"/>
            <c:bubble3D val="0"/>
            <c:spPr>
              <a:solidFill>
                <a:schemeClr val="accent6"/>
              </a:solidFill>
              <a:ln>
                <a:noFill/>
              </a:ln>
              <a:effectLst/>
            </c:spPr>
            <c:extLst>
              <c:ext xmlns:c16="http://schemas.microsoft.com/office/drawing/2014/chart" uri="{C3380CC4-5D6E-409C-BE32-E72D297353CC}">
                <c16:uniqueId val="{00000006-EA46-48A5-9F9D-45BC44F8C6A3}"/>
              </c:ext>
            </c:extLst>
          </c:dPt>
          <c:dLbls>
            <c:dLbl>
              <c:idx val="3"/>
              <c:layout>
                <c:manualLayout>
                  <c:x val="-2.3076836959361035E-2"/>
                  <c:y val="-2.4079558862481642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561558651322431"/>
                      <c:h val="0.14731563421828908"/>
                    </c:manualLayout>
                  </c15:layout>
                </c:ext>
                <c:ext xmlns:c16="http://schemas.microsoft.com/office/drawing/2014/chart" uri="{C3380CC4-5D6E-409C-BE32-E72D297353CC}">
                  <c16:uniqueId val="{00000004-EA46-48A5-9F9D-45BC44F8C6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Table'!$A$4:$A$10</c:f>
              <c:strCache>
                <c:ptCount val="6"/>
                <c:pt idx="0">
                  <c:v>Finance</c:v>
                </c:pt>
                <c:pt idx="1">
                  <c:v>HR</c:v>
                </c:pt>
                <c:pt idx="2">
                  <c:v>IT</c:v>
                </c:pt>
                <c:pt idx="3">
                  <c:v>Marketing</c:v>
                </c:pt>
                <c:pt idx="4">
                  <c:v>Operations</c:v>
                </c:pt>
                <c:pt idx="5">
                  <c:v>Sales</c:v>
                </c:pt>
              </c:strCache>
            </c:strRef>
          </c:cat>
          <c:val>
            <c:numRef>
              <c:f>'Pivot Table'!$B$4:$B$10</c:f>
              <c:numCache>
                <c:formatCode>General</c:formatCode>
                <c:ptCount val="6"/>
                <c:pt idx="0">
                  <c:v>8</c:v>
                </c:pt>
                <c:pt idx="1">
                  <c:v>6</c:v>
                </c:pt>
                <c:pt idx="2">
                  <c:v>12</c:v>
                </c:pt>
                <c:pt idx="3">
                  <c:v>8</c:v>
                </c:pt>
                <c:pt idx="4">
                  <c:v>10</c:v>
                </c:pt>
                <c:pt idx="5">
                  <c:v>13</c:v>
                </c:pt>
              </c:numCache>
            </c:numRef>
          </c:val>
          <c:extLst>
            <c:ext xmlns:c16="http://schemas.microsoft.com/office/drawing/2014/chart" uri="{C3380CC4-5D6E-409C-BE32-E72D297353CC}">
              <c16:uniqueId val="{00000000-EA46-48A5-9F9D-45BC44F8C6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[Minor Project Dashboard.xlsx]Pivot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Table'!$E$4:$E$17</c:f>
              <c:strCache>
                <c:ptCount val="13"/>
                <c:pt idx="0">
                  <c:v>Accountant</c:v>
                </c:pt>
                <c:pt idx="1">
                  <c:v>Data Analyst</c:v>
                </c:pt>
                <c:pt idx="2">
                  <c:v>Financial Analyst</c:v>
                </c:pt>
                <c:pt idx="3">
                  <c:v>HR Executive</c:v>
                </c:pt>
                <c:pt idx="4">
                  <c:v>HR Manager</c:v>
                </c:pt>
                <c:pt idx="5">
                  <c:v>Marketing Executive</c:v>
                </c:pt>
                <c:pt idx="6">
                  <c:v>Operations Executive</c:v>
                </c:pt>
                <c:pt idx="7">
                  <c:v>Operations Manager</c:v>
                </c:pt>
                <c:pt idx="8">
                  <c:v>Recruiter</c:v>
                </c:pt>
                <c:pt idx="9">
                  <c:v>Sales Executive</c:v>
                </c:pt>
                <c:pt idx="10">
                  <c:v>Sales Manager</c:v>
                </c:pt>
                <c:pt idx="11">
                  <c:v>SEO Specialist</c:v>
                </c:pt>
                <c:pt idx="12">
                  <c:v>Software Engineer</c:v>
                </c:pt>
              </c:strCache>
            </c:strRef>
          </c:cat>
          <c:val>
            <c:numRef>
              <c:f>'Pivot Table'!$F$4:$F$17</c:f>
              <c:numCache>
                <c:formatCode>General</c:formatCode>
                <c:ptCount val="13"/>
                <c:pt idx="0">
                  <c:v>4</c:v>
                </c:pt>
                <c:pt idx="1">
                  <c:v>5</c:v>
                </c:pt>
                <c:pt idx="2">
                  <c:v>4</c:v>
                </c:pt>
                <c:pt idx="3">
                  <c:v>2</c:v>
                </c:pt>
                <c:pt idx="4">
                  <c:v>1</c:v>
                </c:pt>
                <c:pt idx="5">
                  <c:v>2</c:v>
                </c:pt>
                <c:pt idx="6">
                  <c:v>8</c:v>
                </c:pt>
                <c:pt idx="7">
                  <c:v>2</c:v>
                </c:pt>
                <c:pt idx="8">
                  <c:v>3</c:v>
                </c:pt>
                <c:pt idx="9">
                  <c:v>8</c:v>
                </c:pt>
                <c:pt idx="10">
                  <c:v>5</c:v>
                </c:pt>
                <c:pt idx="11">
                  <c:v>6</c:v>
                </c:pt>
                <c:pt idx="12">
                  <c:v>7</c:v>
                </c:pt>
              </c:numCache>
            </c:numRef>
          </c:val>
          <c:extLst>
            <c:ext xmlns:c16="http://schemas.microsoft.com/office/drawing/2014/chart" uri="{C3380CC4-5D6E-409C-BE32-E72D297353CC}">
              <c16:uniqueId val="{00000000-882A-4372-A89B-E4AEC2C175A8}"/>
            </c:ext>
          </c:extLst>
        </c:ser>
        <c:dLbls>
          <c:showLegendKey val="0"/>
          <c:showVal val="0"/>
          <c:showCatName val="0"/>
          <c:showSerName val="0"/>
          <c:showPercent val="0"/>
          <c:showBubbleSize val="0"/>
        </c:dLbls>
        <c:gapWidth val="150"/>
        <c:axId val="1874698927"/>
        <c:axId val="1881733551"/>
      </c:barChart>
      <c:catAx>
        <c:axId val="1874698927"/>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733551"/>
        <c:crosses val="autoZero"/>
        <c:auto val="1"/>
        <c:lblAlgn val="ctr"/>
        <c:lblOffset val="100"/>
        <c:noMultiLvlLbl val="0"/>
      </c:catAx>
      <c:valAx>
        <c:axId val="1881733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9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[Minor Project Dashboard.xlsx]Pivot Table!PivotTable5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81611237409855E-2"/>
          <c:y val="3.1384654045903834E-2"/>
          <c:w val="0.8647228864283647"/>
          <c:h val="0.72781820444002066"/>
        </c:manualLayout>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&lt;25</c:v>
                </c:pt>
                <c:pt idx="1">
                  <c:v>25-34</c:v>
                </c:pt>
                <c:pt idx="2">
                  <c:v>35-44</c:v>
                </c:pt>
                <c:pt idx="3">
                  <c:v>45+</c:v>
                </c:pt>
              </c:strCache>
            </c:strRef>
          </c:cat>
          <c:val>
            <c:numRef>
              <c:f>'Pivot Table'!$I$4:$I$8</c:f>
              <c:numCache>
                <c:formatCode>General</c:formatCode>
                <c:ptCount val="4"/>
                <c:pt idx="0">
                  <c:v>6</c:v>
                </c:pt>
                <c:pt idx="1">
                  <c:v>10</c:v>
                </c:pt>
                <c:pt idx="2">
                  <c:v>17</c:v>
                </c:pt>
                <c:pt idx="3">
                  <c:v>24</c:v>
                </c:pt>
              </c:numCache>
            </c:numRef>
          </c:val>
          <c:extLst>
            <c:ext xmlns:c16="http://schemas.microsoft.com/office/drawing/2014/chart" uri="{C3380CC4-5D6E-409C-BE32-E72D297353CC}">
              <c16:uniqueId val="{00000000-3368-4F90-AF09-D2B7DB726761}"/>
            </c:ext>
          </c:extLst>
        </c:ser>
        <c:dLbls>
          <c:showLegendKey val="0"/>
          <c:showVal val="0"/>
          <c:showCatName val="0"/>
          <c:showSerName val="0"/>
          <c:showPercent val="0"/>
          <c:showBubbleSize val="0"/>
        </c:dLbls>
        <c:gapWidth val="150"/>
        <c:axId val="1879367039"/>
        <c:axId val="1571839951"/>
      </c:barChart>
      <c:catAx>
        <c:axId val="1879367039"/>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39951"/>
        <c:crosses val="autoZero"/>
        <c:auto val="1"/>
        <c:lblAlgn val="ctr"/>
        <c:lblOffset val="100"/>
        <c:noMultiLvlLbl val="0"/>
      </c:catAx>
      <c:valAx>
        <c:axId val="157183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367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[Minor Project Dashboard.xlsx]Pivot Table!PivotTable7</c:name>
    <c:fmtId val="1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EDUCATION FIELD ATTRITION</a:t>
            </a:r>
          </a:p>
        </c:rich>
      </c:tx>
      <c:layout>
        <c:manualLayout>
          <c:xMode val="edge"/>
          <c:yMode val="edge"/>
          <c:x val="0.12696455816074215"/>
          <c:y val="4.5275590551181105E-2"/>
        </c:manualLayout>
      </c:layout>
      <c:overlay val="0"/>
      <c:spPr>
        <a:noFill/>
        <a:ln>
          <a:noFill/>
        </a:ln>
        <a:effectLst/>
      </c:sp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c:spPr>
        <c:dLbl>
          <c:idx val="0"/>
          <c:layout>
            <c:manualLayout>
              <c:x val="-3.616636528028933E-3"/>
              <c:y val="4.8888324126796771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a:noFill/>
          </a:ln>
          <a:effectLst/>
        </c:spPr>
        <c:dLbl>
          <c:idx val="0"/>
          <c:layout>
            <c:manualLayout>
              <c:x val="-2.8901430673766937E-2"/>
              <c:y val="9.6755905511811027E-4"/>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fld id="{9B3F1E87-6030-4A03-9D9E-216E1A59712D}" type="VALUE">
                  <a:rPr lang="en-US"/>
                  <a:pPr>
                    <a:defRPr sz="900" b="0" i="0" u="none" strike="noStrike" kern="1200" baseline="0">
                      <a:ln>
                        <a:noFill/>
                      </a:ln>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9.7072808095519866E-2"/>
                  <c:h val="0.10658687664041995"/>
                </c:manualLayout>
              </c15:layout>
              <c15:dlblFieldTable/>
              <c15:showDataLabelsRange val="0"/>
            </c:ext>
          </c:extLst>
        </c:dLbl>
      </c:pivotFmt>
      <c:pivotFmt>
        <c:idx val="7"/>
        <c:spPr>
          <a:solidFill>
            <a:schemeClr val="accent1"/>
          </a:solidFill>
          <a:ln>
            <a:noFill/>
          </a:ln>
          <a:effectLst/>
        </c:spPr>
        <c:dLbl>
          <c:idx val="0"/>
          <c:layout>
            <c:manualLayout>
              <c:x val="-3.616636528028933E-3"/>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solidFill>
          <a:ln>
            <a:noFill/>
          </a:ln>
          <a:effectLst/>
        </c:spPr>
        <c:dLbl>
          <c:idx val="0"/>
          <c:layout>
            <c:manualLayout>
              <c:x val="0"/>
              <c:y val="-1.06666666666666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c:spPr>
        <c:dLbl>
          <c:idx val="0"/>
          <c:layout>
            <c:manualLayout>
              <c:x val="-6.630423706165927E-17"/>
              <c:y val="-5.333333333333529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 Table'!$I$11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B38-4420-BFF0-844863035E4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EB38-4420-BFF0-844863035E4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EB38-4420-BFF0-844863035E4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EB38-4420-BFF0-844863035E4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EB38-4420-BFF0-844863035E4E}"/>
              </c:ext>
            </c:extLst>
          </c:dPt>
          <c:dLbls>
            <c:dLbl>
              <c:idx val="0"/>
              <c:layout>
                <c:manualLayout>
                  <c:x val="-6.630423706165927E-17"/>
                  <c:y val="-5.3333333333335292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B38-4420-BFF0-844863035E4E}"/>
                </c:ext>
              </c:extLst>
            </c:dLbl>
            <c:dLbl>
              <c:idx val="1"/>
              <c:layout>
                <c:manualLayout>
                  <c:x val="0"/>
                  <c:y val="-1.066666666666666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B38-4420-BFF0-844863035E4E}"/>
                </c:ext>
              </c:extLst>
            </c:dLbl>
            <c:dLbl>
              <c:idx val="2"/>
              <c:layout>
                <c:manualLayout>
                  <c:x val="-3.616636528028933E-3"/>
                  <c:y val="0"/>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EB38-4420-BFF0-844863035E4E}"/>
                </c:ext>
              </c:extLst>
            </c:dLbl>
            <c:dLbl>
              <c:idx val="3"/>
              <c:layout>
                <c:manualLayout>
                  <c:x val="-3.616636528028933E-3"/>
                  <c:y val="4.8888324126796771E-17"/>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B38-4420-BFF0-844863035E4E}"/>
                </c:ext>
              </c:extLst>
            </c:dLbl>
            <c:dLbl>
              <c:idx val="4"/>
              <c:layout>
                <c:manualLayout>
                  <c:x val="-2.8901430673766937E-2"/>
                  <c:y val="9.6755905511811027E-4"/>
                </c:manualLayout>
              </c:layout>
              <c:tx>
                <c:rich>
                  <a:bodyPr/>
                  <a:lstStyle/>
                  <a:p>
                    <a:fld id="{9B3F1E87-6030-4A03-9D9E-216E1A59712D}" type="VALUE">
                      <a:rPr lang="en-US"/>
                      <a:pPr/>
                      <a:t>[VALUE]</a:t>
                    </a:fld>
                    <a:endParaRPr lang="en-IN"/>
                  </a:p>
                </c:rich>
              </c:tx>
              <c:showLegendKey val="0"/>
              <c:showVal val="1"/>
              <c:showCatName val="0"/>
              <c:showSerName val="0"/>
              <c:showPercent val="0"/>
              <c:showBubbleSize val="0"/>
              <c:separator> </c:separator>
              <c:extLst>
                <c:ext xmlns:c15="http://schemas.microsoft.com/office/drawing/2012/chart" uri="{CE6537A1-D6FC-4f65-9D91-7224C49458BB}">
                  <c15:layout>
                    <c:manualLayout>
                      <c:w val="9.7072808095519866E-2"/>
                      <c:h val="0.10658687664041995"/>
                    </c:manualLayout>
                  </c15:layout>
                  <c15:dlblFieldTable/>
                  <c15:showDataLabelsRange val="0"/>
                </c:ext>
                <c:ext xmlns:c16="http://schemas.microsoft.com/office/drawing/2014/chart" uri="{C3380CC4-5D6E-409C-BE32-E72D297353CC}">
                  <c16:uniqueId val="{00000003-EB38-4420-BFF0-844863035E4E}"/>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Table'!$H$12:$H$17</c:f>
              <c:strCache>
                <c:ptCount val="5"/>
                <c:pt idx="0">
                  <c:v>Business</c:v>
                </c:pt>
                <c:pt idx="1">
                  <c:v>Finance</c:v>
                </c:pt>
                <c:pt idx="2">
                  <c:v>HR</c:v>
                </c:pt>
                <c:pt idx="3">
                  <c:v>IT</c:v>
                </c:pt>
                <c:pt idx="4">
                  <c:v>Marketing</c:v>
                </c:pt>
              </c:strCache>
            </c:strRef>
          </c:cat>
          <c:val>
            <c:numRef>
              <c:f>'Pivot Table'!$I$12:$I$17</c:f>
              <c:numCache>
                <c:formatCode>General</c:formatCode>
                <c:ptCount val="5"/>
                <c:pt idx="0">
                  <c:v>8</c:v>
                </c:pt>
                <c:pt idx="1">
                  <c:v>15</c:v>
                </c:pt>
                <c:pt idx="2">
                  <c:v>9</c:v>
                </c:pt>
                <c:pt idx="3">
                  <c:v>13</c:v>
                </c:pt>
                <c:pt idx="4">
                  <c:v>12</c:v>
                </c:pt>
              </c:numCache>
            </c:numRef>
          </c:val>
          <c:extLst>
            <c:ext xmlns:c16="http://schemas.microsoft.com/office/drawing/2014/chart" uri="{C3380CC4-5D6E-409C-BE32-E72D297353CC}">
              <c16:uniqueId val="{00000000-EB38-4420-BFF0-844863035E4E}"/>
            </c:ext>
          </c:extLst>
        </c:ser>
        <c:dLbls>
          <c:showLegendKey val="0"/>
          <c:showVal val="1"/>
          <c:showCatName val="0"/>
          <c:showSerName val="0"/>
          <c:showPercent val="0"/>
          <c:showBubbleSize val="0"/>
        </c:dLbls>
        <c:gapWidth val="150"/>
        <c:axId val="1669990703"/>
        <c:axId val="1672761935"/>
      </c:barChart>
      <c:catAx>
        <c:axId val="1669990703"/>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672761935"/>
        <c:crosses val="autoZero"/>
        <c:auto val="1"/>
        <c:lblAlgn val="ctr"/>
        <c:lblOffset val="100"/>
        <c:noMultiLvlLbl val="0"/>
      </c:catAx>
      <c:valAx>
        <c:axId val="16727619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66999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[Minor Project Dashboard.xlsx]Pivot 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MARITAL STATUS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257944319460069"/>
              <c:y val="-0.17754569190600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185067526415994E-1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2321428571428578E-2"/>
              <c:y val="0.14007360046051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Table'!$L$3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F443-4A42-B934-5040EF6D6222}"/>
              </c:ext>
            </c:extLst>
          </c:dPt>
          <c:dPt>
            <c:idx val="1"/>
            <c:bubble3D val="0"/>
            <c:spPr>
              <a:solidFill>
                <a:schemeClr val="accent2"/>
              </a:solidFill>
              <a:ln>
                <a:noFill/>
              </a:ln>
              <a:effectLst/>
            </c:spPr>
            <c:extLst>
              <c:ext xmlns:c16="http://schemas.microsoft.com/office/drawing/2014/chart" uri="{C3380CC4-5D6E-409C-BE32-E72D297353CC}">
                <c16:uniqueId val="{00000003-F443-4A42-B934-5040EF6D6222}"/>
              </c:ext>
            </c:extLst>
          </c:dPt>
          <c:dPt>
            <c:idx val="2"/>
            <c:bubble3D val="0"/>
            <c:spPr>
              <a:solidFill>
                <a:schemeClr val="accent3"/>
              </a:solidFill>
              <a:ln>
                <a:noFill/>
              </a:ln>
              <a:effectLst/>
            </c:spPr>
            <c:extLst>
              <c:ext xmlns:c16="http://schemas.microsoft.com/office/drawing/2014/chart" uri="{C3380CC4-5D6E-409C-BE32-E72D297353CC}">
                <c16:uniqueId val="{00000001-F443-4A42-B934-5040EF6D6222}"/>
              </c:ext>
            </c:extLst>
          </c:dPt>
          <c:dLbls>
            <c:dLbl>
              <c:idx val="0"/>
              <c:layout>
                <c:manualLayout>
                  <c:x val="-1.0185067526415994E-16"/>
                  <c:y val="-0.2083333333333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43-4A42-B934-5040EF6D6222}"/>
                </c:ext>
              </c:extLst>
            </c:dLbl>
            <c:dLbl>
              <c:idx val="1"/>
              <c:layout>
                <c:manualLayout>
                  <c:x val="7.2321428571428578E-2"/>
                  <c:y val="0.140073600460516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43-4A42-B934-5040EF6D6222}"/>
                </c:ext>
              </c:extLst>
            </c:dLbl>
            <c:dLbl>
              <c:idx val="2"/>
              <c:layout>
                <c:manualLayout>
                  <c:x val="-0.10257944319460069"/>
                  <c:y val="-0.1775456919060052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43-4A42-B934-5040EF6D62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Table'!$K$4:$K$7</c:f>
              <c:strCache>
                <c:ptCount val="3"/>
                <c:pt idx="0">
                  <c:v>Divorced</c:v>
                </c:pt>
                <c:pt idx="1">
                  <c:v>Married</c:v>
                </c:pt>
                <c:pt idx="2">
                  <c:v>Single</c:v>
                </c:pt>
              </c:strCache>
            </c:strRef>
          </c:cat>
          <c:val>
            <c:numRef>
              <c:f>'Pivot Table'!$L$4:$L$7</c:f>
              <c:numCache>
                <c:formatCode>General</c:formatCode>
                <c:ptCount val="3"/>
                <c:pt idx="0">
                  <c:v>29</c:v>
                </c:pt>
                <c:pt idx="1">
                  <c:v>31</c:v>
                </c:pt>
                <c:pt idx="2">
                  <c:v>40</c:v>
                </c:pt>
              </c:numCache>
            </c:numRef>
          </c:val>
          <c:extLst>
            <c:ext xmlns:c16="http://schemas.microsoft.com/office/drawing/2014/chart" uri="{C3380CC4-5D6E-409C-BE32-E72D297353CC}">
              <c16:uniqueId val="{00000000-F443-4A42-B934-5040EF6D622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dLbl>
          <c:idx val="0"/>
          <c:layout>
            <c:manualLayout>
              <c:x val="5.5555555555555558E-3"/>
              <c:y val="-0.1944444444444445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c:spPr>
        <c:dLbl>
          <c:idx val="0"/>
          <c:layout>
            <c:manualLayout>
              <c:x val="5.5555555555555558E-3"/>
              <c:y val="-0.36574074074074081"/>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2-2B0A-4C21-AC5B-0FC403CEDBA2}"/>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7-2B0A-4C21-AC5B-0FC403CEDBA2}"/>
              </c:ext>
            </c:extLst>
          </c:dPt>
          <c:dLbls>
            <c:dLbl>
              <c:idx val="0"/>
              <c:layout>
                <c:manualLayout>
                  <c:x val="5.5555555555555558E-3"/>
                  <c:y val="-0.19444444444444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0A-4C21-AC5B-0FC403CEDBA2}"/>
                </c:ext>
              </c:extLst>
            </c:dLbl>
            <c:dLbl>
              <c:idx val="1"/>
              <c:layout>
                <c:manualLayout>
                  <c:x val="5.5555555555555558E-3"/>
                  <c:y val="-0.36574074074074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0A-4C21-AC5B-0FC403CEDB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
              <c:pt idx="0">
                <c:v>Female</c:v>
              </c:pt>
              <c:pt idx="1">
                <c:v>Male</c:v>
              </c:pt>
            </c:strLit>
          </c:cat>
          <c:val>
            <c:numLit>
              <c:formatCode>General</c:formatCode>
              <c:ptCount val="2"/>
              <c:pt idx="0">
                <c:v>26</c:v>
              </c:pt>
              <c:pt idx="1">
                <c:v>31</c:v>
              </c:pt>
            </c:numLit>
          </c:val>
          <c:extLst>
            <c:ext xmlns:c16="http://schemas.microsoft.com/office/drawing/2014/chart" uri="{C3380CC4-5D6E-409C-BE32-E72D297353CC}">
              <c16:uniqueId val="{00000000-2B0A-4C21-AC5B-0FC403CEDBA2}"/>
            </c:ext>
          </c:extLst>
        </c:ser>
        <c:dLbls>
          <c:showLegendKey val="0"/>
          <c:showVal val="1"/>
          <c:showCatName val="0"/>
          <c:showSerName val="0"/>
          <c:showPercent val="0"/>
          <c:showBubbleSize val="0"/>
        </c:dLbls>
        <c:gapWidth val="74"/>
        <c:axId val="1910867423"/>
        <c:axId val="1709829231"/>
      </c:barChart>
      <c:catAx>
        <c:axId val="191086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829231"/>
        <c:crosses val="autoZero"/>
        <c:auto val="1"/>
        <c:lblAlgn val="ctr"/>
        <c:lblOffset val="100"/>
        <c:noMultiLvlLbl val="0"/>
      </c:catAx>
      <c:valAx>
        <c:axId val="17098292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6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[Minor Project Dashboard.xlsx]Pivot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94444444444444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9444444444444344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2222222222222223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Table'!$A$21:$A$24</c:f>
              <c:strCache>
                <c:ptCount val="3"/>
                <c:pt idx="0">
                  <c:v>High</c:v>
                </c:pt>
                <c:pt idx="1">
                  <c:v>Low</c:v>
                </c:pt>
                <c:pt idx="2">
                  <c:v>Medium</c:v>
                </c:pt>
              </c:strCache>
            </c:strRef>
          </c:cat>
          <c:val>
            <c:numRef>
              <c:f>'Pivot Table'!$B$21:$B$24</c:f>
              <c:numCache>
                <c:formatCode>General</c:formatCode>
                <c:ptCount val="3"/>
                <c:pt idx="0">
                  <c:v>25</c:v>
                </c:pt>
                <c:pt idx="1">
                  <c:v>6</c:v>
                </c:pt>
                <c:pt idx="2">
                  <c:v>26</c:v>
                </c:pt>
              </c:numCache>
            </c:numRef>
          </c:val>
          <c:extLst>
            <c:ext xmlns:c16="http://schemas.microsoft.com/office/drawing/2014/chart" uri="{C3380CC4-5D6E-409C-BE32-E72D297353CC}">
              <c16:uniqueId val="{00000000-735B-4DFA-BD6F-9684C088D53C}"/>
            </c:ext>
          </c:extLst>
        </c:ser>
        <c:dLbls>
          <c:showLegendKey val="0"/>
          <c:showVal val="1"/>
          <c:showCatName val="0"/>
          <c:showSerName val="0"/>
          <c:showPercent val="0"/>
          <c:showBubbleSize val="0"/>
        </c:dLbls>
        <c:gapWidth val="150"/>
        <c:shape val="box"/>
        <c:axId val="2076875247"/>
        <c:axId val="2009891263"/>
        <c:axId val="0"/>
      </c:bar3DChart>
      <c:catAx>
        <c:axId val="2076875247"/>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91263"/>
        <c:crosses val="autoZero"/>
        <c:auto val="1"/>
        <c:lblAlgn val="ctr"/>
        <c:lblOffset val="100"/>
        <c:noMultiLvlLbl val="0"/>
      </c:catAx>
      <c:valAx>
        <c:axId val="2009891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7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7.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9.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11" Type="http://schemas.openxmlformats.org/officeDocument/2006/relationships/image" Target="../media/image8.png"/><Relationship Id="rId5" Type="http://schemas.openxmlformats.org/officeDocument/2006/relationships/chart" Target="../charts/chart3.xml"/><Relationship Id="rId10" Type="http://schemas.openxmlformats.org/officeDocument/2006/relationships/image" Target="../media/image7.svg"/><Relationship Id="rId4" Type="http://schemas.openxmlformats.org/officeDocument/2006/relationships/chart" Target="../charts/chart2.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139700</xdr:rowOff>
    </xdr:from>
    <xdr:to>
      <xdr:col>15</xdr:col>
      <xdr:colOff>171450</xdr:colOff>
      <xdr:row>4</xdr:row>
      <xdr:rowOff>44450</xdr:rowOff>
    </xdr:to>
    <xdr:sp macro="" textlink="">
      <xdr:nvSpPr>
        <xdr:cNvPr id="2" name="Rectangle 1">
          <a:extLst>
            <a:ext uri="{FF2B5EF4-FFF2-40B4-BE49-F238E27FC236}">
              <a16:creationId xmlns:a16="http://schemas.microsoft.com/office/drawing/2014/main" id="{636F3ACB-066B-406C-95B1-58E8B3439E83}"/>
            </a:ext>
          </a:extLst>
        </xdr:cNvPr>
        <xdr:cNvSpPr/>
      </xdr:nvSpPr>
      <xdr:spPr>
        <a:xfrm>
          <a:off x="133350" y="139700"/>
          <a:ext cx="9182100" cy="641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a:t>
          </a:r>
          <a:r>
            <a:rPr lang="en-IN" sz="3200"/>
            <a:t>HR ATTRITION ANALYSIS DASHBOARD</a:t>
          </a:r>
        </a:p>
      </xdr:txBody>
    </xdr:sp>
    <xdr:clientData/>
  </xdr:twoCellAnchor>
  <xdr:twoCellAnchor>
    <xdr:from>
      <xdr:col>15</xdr:col>
      <xdr:colOff>273050</xdr:colOff>
      <xdr:row>0</xdr:row>
      <xdr:rowOff>133350</xdr:rowOff>
    </xdr:from>
    <xdr:to>
      <xdr:col>18</xdr:col>
      <xdr:colOff>539750</xdr:colOff>
      <xdr:row>4</xdr:row>
      <xdr:rowOff>31750</xdr:rowOff>
    </xdr:to>
    <xdr:sp macro="" textlink="">
      <xdr:nvSpPr>
        <xdr:cNvPr id="3" name="Rectangle 2">
          <a:extLst>
            <a:ext uri="{FF2B5EF4-FFF2-40B4-BE49-F238E27FC236}">
              <a16:creationId xmlns:a16="http://schemas.microsoft.com/office/drawing/2014/main" id="{FEC7252C-65D2-4C90-B054-E025AA16411D}"/>
            </a:ext>
          </a:extLst>
        </xdr:cNvPr>
        <xdr:cNvSpPr/>
      </xdr:nvSpPr>
      <xdr:spPr>
        <a:xfrm>
          <a:off x="9417050" y="133350"/>
          <a:ext cx="20955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t>Job Satisfaction Ratings </a:t>
          </a:r>
          <a:br>
            <a:rPr lang="en-IN" sz="1100"/>
          </a:br>
          <a:r>
            <a:rPr lang="en-IN" sz="1100"/>
            <a:t> </a:t>
          </a:r>
        </a:p>
      </xdr:txBody>
    </xdr:sp>
    <xdr:clientData/>
  </xdr:twoCellAnchor>
  <xdr:twoCellAnchor>
    <xdr:from>
      <xdr:col>15</xdr:col>
      <xdr:colOff>425450</xdr:colOff>
      <xdr:row>2</xdr:row>
      <xdr:rowOff>127000</xdr:rowOff>
    </xdr:from>
    <xdr:to>
      <xdr:col>16</xdr:col>
      <xdr:colOff>57150</xdr:colOff>
      <xdr:row>3</xdr:row>
      <xdr:rowOff>165100</xdr:rowOff>
    </xdr:to>
    <xdr:sp macro="" textlink="">
      <xdr:nvSpPr>
        <xdr:cNvPr id="5" name="Star: 5 Points 4">
          <a:extLst>
            <a:ext uri="{FF2B5EF4-FFF2-40B4-BE49-F238E27FC236}">
              <a16:creationId xmlns:a16="http://schemas.microsoft.com/office/drawing/2014/main" id="{0197A599-D89C-485E-8B30-7DAD43E026A2}"/>
            </a:ext>
          </a:extLst>
        </xdr:cNvPr>
        <xdr:cNvSpPr/>
      </xdr:nvSpPr>
      <xdr:spPr>
        <a:xfrm>
          <a:off x="9569450" y="495300"/>
          <a:ext cx="241300" cy="222250"/>
        </a:xfrm>
        <a:prstGeom prst="star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184150</xdr:colOff>
      <xdr:row>2</xdr:row>
      <xdr:rowOff>120650</xdr:rowOff>
    </xdr:from>
    <xdr:to>
      <xdr:col>16</xdr:col>
      <xdr:colOff>425450</xdr:colOff>
      <xdr:row>3</xdr:row>
      <xdr:rowOff>158750</xdr:rowOff>
    </xdr:to>
    <xdr:sp macro="" textlink="">
      <xdr:nvSpPr>
        <xdr:cNvPr id="7" name="Star: 5 Points 6">
          <a:extLst>
            <a:ext uri="{FF2B5EF4-FFF2-40B4-BE49-F238E27FC236}">
              <a16:creationId xmlns:a16="http://schemas.microsoft.com/office/drawing/2014/main" id="{C078DFE9-6D18-4F94-904E-469F17D3AB4F}"/>
            </a:ext>
          </a:extLst>
        </xdr:cNvPr>
        <xdr:cNvSpPr/>
      </xdr:nvSpPr>
      <xdr:spPr>
        <a:xfrm>
          <a:off x="9937750" y="488950"/>
          <a:ext cx="241300" cy="222250"/>
        </a:xfrm>
        <a:prstGeom prst="star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565150</xdr:colOff>
      <xdr:row>2</xdr:row>
      <xdr:rowOff>120650</xdr:rowOff>
    </xdr:from>
    <xdr:to>
      <xdr:col>17</xdr:col>
      <xdr:colOff>196850</xdr:colOff>
      <xdr:row>3</xdr:row>
      <xdr:rowOff>158750</xdr:rowOff>
    </xdr:to>
    <xdr:sp macro="" textlink="">
      <xdr:nvSpPr>
        <xdr:cNvPr id="9" name="Star: 5 Points 8">
          <a:extLst>
            <a:ext uri="{FF2B5EF4-FFF2-40B4-BE49-F238E27FC236}">
              <a16:creationId xmlns:a16="http://schemas.microsoft.com/office/drawing/2014/main" id="{6280D50F-79A2-4D9F-B53E-4F45EC0DFAD3}"/>
            </a:ext>
          </a:extLst>
        </xdr:cNvPr>
        <xdr:cNvSpPr/>
      </xdr:nvSpPr>
      <xdr:spPr>
        <a:xfrm>
          <a:off x="10318750" y="488950"/>
          <a:ext cx="241300" cy="222250"/>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323850</xdr:colOff>
      <xdr:row>2</xdr:row>
      <xdr:rowOff>120650</xdr:rowOff>
    </xdr:from>
    <xdr:to>
      <xdr:col>17</xdr:col>
      <xdr:colOff>565150</xdr:colOff>
      <xdr:row>3</xdr:row>
      <xdr:rowOff>158750</xdr:rowOff>
    </xdr:to>
    <xdr:sp macro="" textlink="">
      <xdr:nvSpPr>
        <xdr:cNvPr id="11" name="Star: 5 Points 10">
          <a:extLst>
            <a:ext uri="{FF2B5EF4-FFF2-40B4-BE49-F238E27FC236}">
              <a16:creationId xmlns:a16="http://schemas.microsoft.com/office/drawing/2014/main" id="{C8913DFC-079B-476A-9978-F218D9B33377}"/>
            </a:ext>
          </a:extLst>
        </xdr:cNvPr>
        <xdr:cNvSpPr/>
      </xdr:nvSpPr>
      <xdr:spPr>
        <a:xfrm>
          <a:off x="10687050" y="488950"/>
          <a:ext cx="241300" cy="222250"/>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69850</xdr:colOff>
      <xdr:row>2</xdr:row>
      <xdr:rowOff>120650</xdr:rowOff>
    </xdr:from>
    <xdr:to>
      <xdr:col>18</xdr:col>
      <xdr:colOff>311150</xdr:colOff>
      <xdr:row>3</xdr:row>
      <xdr:rowOff>158750</xdr:rowOff>
    </xdr:to>
    <xdr:sp macro="" textlink="">
      <xdr:nvSpPr>
        <xdr:cNvPr id="15" name="Star: 5 Points 14">
          <a:extLst>
            <a:ext uri="{FF2B5EF4-FFF2-40B4-BE49-F238E27FC236}">
              <a16:creationId xmlns:a16="http://schemas.microsoft.com/office/drawing/2014/main" id="{420CD005-F543-4796-B5B4-DD17775F1907}"/>
            </a:ext>
          </a:extLst>
        </xdr:cNvPr>
        <xdr:cNvSpPr/>
      </xdr:nvSpPr>
      <xdr:spPr>
        <a:xfrm>
          <a:off x="11042650" y="488950"/>
          <a:ext cx="241300" cy="222250"/>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152400</xdr:colOff>
      <xdr:row>0</xdr:row>
      <xdr:rowOff>165100</xdr:rowOff>
    </xdr:from>
    <xdr:to>
      <xdr:col>18</xdr:col>
      <xdr:colOff>374650</xdr:colOff>
      <xdr:row>2</xdr:row>
      <xdr:rowOff>31750</xdr:rowOff>
    </xdr:to>
    <xdr:pic>
      <xdr:nvPicPr>
        <xdr:cNvPr id="17" name="Graphic 16" descr="Thumbs up sign">
          <a:extLst>
            <a:ext uri="{FF2B5EF4-FFF2-40B4-BE49-F238E27FC236}">
              <a16:creationId xmlns:a16="http://schemas.microsoft.com/office/drawing/2014/main" id="{62F3558A-C4D7-4632-AECA-DECB18232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125200" y="165100"/>
          <a:ext cx="222250" cy="222250"/>
        </a:xfrm>
        <a:prstGeom prst="rect">
          <a:avLst/>
        </a:prstGeom>
      </xdr:spPr>
    </xdr:pic>
    <xdr:clientData/>
  </xdr:twoCellAnchor>
  <xdr:twoCellAnchor>
    <xdr:from>
      <xdr:col>0</xdr:col>
      <xdr:colOff>95250</xdr:colOff>
      <xdr:row>5</xdr:row>
      <xdr:rowOff>25400</xdr:rowOff>
    </xdr:from>
    <xdr:to>
      <xdr:col>3</xdr:col>
      <xdr:colOff>12700</xdr:colOff>
      <xdr:row>9</xdr:row>
      <xdr:rowOff>44450</xdr:rowOff>
    </xdr:to>
    <xdr:sp macro="" textlink="Calculation!$C$4">
      <xdr:nvSpPr>
        <xdr:cNvPr id="18" name="Rectangle: Rounded Corners 17">
          <a:extLst>
            <a:ext uri="{FF2B5EF4-FFF2-40B4-BE49-F238E27FC236}">
              <a16:creationId xmlns:a16="http://schemas.microsoft.com/office/drawing/2014/main" id="{FB19FE18-1E2D-49CB-B23E-385A1328702A}"/>
            </a:ext>
          </a:extLst>
        </xdr:cNvPr>
        <xdr:cNvSpPr/>
      </xdr:nvSpPr>
      <xdr:spPr>
        <a:xfrm>
          <a:off x="95250" y="946150"/>
          <a:ext cx="1746250" cy="7556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A476B778-AF91-4445-9691-B777E33236AD}" type="TxLink">
            <a:rPr lang="en-US" sz="2800" b="0" i="0" u="none" strike="noStrike">
              <a:solidFill>
                <a:schemeClr val="bg1"/>
              </a:solidFill>
              <a:latin typeface="Calibri"/>
              <a:ea typeface="Calibri"/>
              <a:cs typeface="Calibri"/>
            </a:rPr>
            <a:pPr algn="ctr"/>
            <a:t>100</a:t>
          </a:fld>
          <a:endParaRPr lang="en-IN" sz="2800" b="1">
            <a:solidFill>
              <a:schemeClr val="bg1"/>
            </a:solidFill>
          </a:endParaRPr>
        </a:p>
      </xdr:txBody>
    </xdr:sp>
    <xdr:clientData/>
  </xdr:twoCellAnchor>
  <xdr:oneCellAnchor>
    <xdr:from>
      <xdr:col>0</xdr:col>
      <xdr:colOff>69850</xdr:colOff>
      <xdr:row>5</xdr:row>
      <xdr:rowOff>50800</xdr:rowOff>
    </xdr:from>
    <xdr:ext cx="1801968" cy="342786"/>
    <xdr:sp macro="" textlink="">
      <xdr:nvSpPr>
        <xdr:cNvPr id="19" name="TextBox 18">
          <a:extLst>
            <a:ext uri="{FF2B5EF4-FFF2-40B4-BE49-F238E27FC236}">
              <a16:creationId xmlns:a16="http://schemas.microsoft.com/office/drawing/2014/main" id="{95F9478F-9E51-4C24-9D69-F1F33968E61D}"/>
            </a:ext>
          </a:extLst>
        </xdr:cNvPr>
        <xdr:cNvSpPr txBox="1"/>
      </xdr:nvSpPr>
      <xdr:spPr>
        <a:xfrm>
          <a:off x="69850" y="971550"/>
          <a:ext cx="180196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TOTAL EMPLOYEES</a:t>
          </a:r>
        </a:p>
      </xdr:txBody>
    </xdr:sp>
    <xdr:clientData/>
  </xdr:oneCellAnchor>
  <xdr:twoCellAnchor>
    <xdr:from>
      <xdr:col>3</xdr:col>
      <xdr:colOff>107950</xdr:colOff>
      <xdr:row>5</xdr:row>
      <xdr:rowOff>38100</xdr:rowOff>
    </xdr:from>
    <xdr:to>
      <xdr:col>5</xdr:col>
      <xdr:colOff>463550</xdr:colOff>
      <xdr:row>9</xdr:row>
      <xdr:rowOff>38100</xdr:rowOff>
    </xdr:to>
    <xdr:sp macro="" textlink="Calculation!$F$4">
      <xdr:nvSpPr>
        <xdr:cNvPr id="20" name="Rectangle: Rounded Corners 19">
          <a:extLst>
            <a:ext uri="{FF2B5EF4-FFF2-40B4-BE49-F238E27FC236}">
              <a16:creationId xmlns:a16="http://schemas.microsoft.com/office/drawing/2014/main" id="{D1B0BC89-C27D-4195-B5D0-863C5F578478}"/>
            </a:ext>
          </a:extLst>
        </xdr:cNvPr>
        <xdr:cNvSpPr/>
      </xdr:nvSpPr>
      <xdr:spPr>
        <a:xfrm>
          <a:off x="1936750" y="958850"/>
          <a:ext cx="1574800" cy="736600"/>
        </a:xfrm>
        <a:prstGeom prst="roundRect">
          <a:avLst/>
        </a:prstGeom>
        <a:solidFill>
          <a:schemeClr val="accent3">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F455245-5B93-431E-A0C7-1F7FE6807A64}" type="TxLink">
            <a:rPr lang="en-US" sz="2800" b="0" i="0" u="none" strike="noStrike">
              <a:solidFill>
                <a:schemeClr val="bg1"/>
              </a:solidFill>
              <a:latin typeface="Calibri"/>
              <a:ea typeface="Calibri"/>
              <a:cs typeface="Calibri"/>
            </a:rPr>
            <a:pPr algn="ctr"/>
            <a:t>57</a:t>
          </a:fld>
          <a:endParaRPr lang="en-IN" sz="2800" b="1">
            <a:solidFill>
              <a:schemeClr val="bg1"/>
            </a:solidFill>
          </a:endParaRPr>
        </a:p>
      </xdr:txBody>
    </xdr:sp>
    <xdr:clientData/>
  </xdr:twoCellAnchor>
  <xdr:oneCellAnchor>
    <xdr:from>
      <xdr:col>3</xdr:col>
      <xdr:colOff>63500</xdr:colOff>
      <xdr:row>5</xdr:row>
      <xdr:rowOff>57150</xdr:rowOff>
    </xdr:from>
    <xdr:ext cx="1711879" cy="342786"/>
    <xdr:sp macro="" textlink="">
      <xdr:nvSpPr>
        <xdr:cNvPr id="23" name="TextBox 22">
          <a:extLst>
            <a:ext uri="{FF2B5EF4-FFF2-40B4-BE49-F238E27FC236}">
              <a16:creationId xmlns:a16="http://schemas.microsoft.com/office/drawing/2014/main" id="{BC087028-227E-4148-BF96-B58A1832D11B}"/>
            </a:ext>
          </a:extLst>
        </xdr:cNvPr>
        <xdr:cNvSpPr txBox="1"/>
      </xdr:nvSpPr>
      <xdr:spPr>
        <a:xfrm>
          <a:off x="1892300" y="977900"/>
          <a:ext cx="171187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TOTAL ATTRITION</a:t>
          </a:r>
        </a:p>
      </xdr:txBody>
    </xdr:sp>
    <xdr:clientData/>
  </xdr:oneCellAnchor>
  <xdr:twoCellAnchor>
    <xdr:from>
      <xdr:col>5</xdr:col>
      <xdr:colOff>571500</xdr:colOff>
      <xdr:row>5</xdr:row>
      <xdr:rowOff>38100</xdr:rowOff>
    </xdr:from>
    <xdr:to>
      <xdr:col>8</xdr:col>
      <xdr:colOff>311150</xdr:colOff>
      <xdr:row>9</xdr:row>
      <xdr:rowOff>44450</xdr:rowOff>
    </xdr:to>
    <xdr:sp macro="" textlink="Calculation!$H$4">
      <xdr:nvSpPr>
        <xdr:cNvPr id="24" name="Rectangle: Rounded Corners 23">
          <a:extLst>
            <a:ext uri="{FF2B5EF4-FFF2-40B4-BE49-F238E27FC236}">
              <a16:creationId xmlns:a16="http://schemas.microsoft.com/office/drawing/2014/main" id="{C6B1A13E-77FC-41A3-9837-C94DDF2247FB}"/>
            </a:ext>
          </a:extLst>
        </xdr:cNvPr>
        <xdr:cNvSpPr/>
      </xdr:nvSpPr>
      <xdr:spPr>
        <a:xfrm>
          <a:off x="3619500" y="958850"/>
          <a:ext cx="1568450" cy="7429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2708F011-1722-4C64-986A-01378F1426C0}" type="TxLink">
            <a:rPr lang="en-US" sz="2800" b="0" i="0" u="none" strike="noStrike">
              <a:solidFill>
                <a:schemeClr val="bg1"/>
              </a:solidFill>
              <a:latin typeface="Calibri"/>
              <a:ea typeface="Calibri"/>
              <a:cs typeface="Calibri"/>
            </a:rPr>
            <a:pPr algn="ctr"/>
            <a:t>57%</a:t>
          </a:fld>
          <a:endParaRPr lang="en-IN" sz="2800" b="1">
            <a:solidFill>
              <a:schemeClr val="bg1"/>
            </a:solidFill>
          </a:endParaRPr>
        </a:p>
      </xdr:txBody>
    </xdr:sp>
    <xdr:clientData/>
  </xdr:twoCellAnchor>
  <xdr:oneCellAnchor>
    <xdr:from>
      <xdr:col>5</xdr:col>
      <xdr:colOff>596900</xdr:colOff>
      <xdr:row>5</xdr:row>
      <xdr:rowOff>57151</xdr:rowOff>
    </xdr:from>
    <xdr:ext cx="1600438" cy="355600"/>
    <xdr:sp macro="" textlink="">
      <xdr:nvSpPr>
        <xdr:cNvPr id="25" name="TextBox 24">
          <a:extLst>
            <a:ext uri="{FF2B5EF4-FFF2-40B4-BE49-F238E27FC236}">
              <a16:creationId xmlns:a16="http://schemas.microsoft.com/office/drawing/2014/main" id="{81A82F48-9C7E-4D9A-A6B1-06A33F291D97}"/>
            </a:ext>
          </a:extLst>
        </xdr:cNvPr>
        <xdr:cNvSpPr txBox="1"/>
      </xdr:nvSpPr>
      <xdr:spPr>
        <a:xfrm>
          <a:off x="3644900" y="977901"/>
          <a:ext cx="1600438"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bg1"/>
              </a:solidFill>
            </a:rPr>
            <a:t>ATTRITION</a:t>
          </a:r>
          <a:r>
            <a:rPr lang="en-IN" sz="1600" b="1" baseline="0">
              <a:solidFill>
                <a:schemeClr val="bg1"/>
              </a:solidFill>
            </a:rPr>
            <a:t> RATE</a:t>
          </a:r>
        </a:p>
        <a:p>
          <a:endParaRPr lang="en-IN" sz="1600" b="1">
            <a:solidFill>
              <a:schemeClr val="bg1"/>
            </a:solidFill>
          </a:endParaRPr>
        </a:p>
      </xdr:txBody>
    </xdr:sp>
    <xdr:clientData/>
  </xdr:oneCellAnchor>
  <xdr:twoCellAnchor>
    <xdr:from>
      <xdr:col>8</xdr:col>
      <xdr:colOff>387350</xdr:colOff>
      <xdr:row>5</xdr:row>
      <xdr:rowOff>25400</xdr:rowOff>
    </xdr:from>
    <xdr:to>
      <xdr:col>10</xdr:col>
      <xdr:colOff>577850</xdr:colOff>
      <xdr:row>9</xdr:row>
      <xdr:rowOff>50800</xdr:rowOff>
    </xdr:to>
    <xdr:sp macro="" textlink="Calculation!$K$4">
      <xdr:nvSpPr>
        <xdr:cNvPr id="16" name="Rectangle: Rounded Corners 15">
          <a:extLst>
            <a:ext uri="{FF2B5EF4-FFF2-40B4-BE49-F238E27FC236}">
              <a16:creationId xmlns:a16="http://schemas.microsoft.com/office/drawing/2014/main" id="{2C6BC598-4016-43D8-AE50-A17ABD202C9A}"/>
            </a:ext>
          </a:extLst>
        </xdr:cNvPr>
        <xdr:cNvSpPr/>
      </xdr:nvSpPr>
      <xdr:spPr>
        <a:xfrm>
          <a:off x="5264150" y="946150"/>
          <a:ext cx="1409700" cy="762000"/>
        </a:xfrm>
        <a:prstGeom prst="roundRect">
          <a:avLst/>
        </a:prstGeom>
        <a:solidFill>
          <a:schemeClr val="accent3">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B57B3CB-2430-4D88-984C-8582A9B323C0}" type="TxLink">
            <a:rPr lang="en-US" sz="2800" b="0" i="0" u="none" strike="noStrike">
              <a:solidFill>
                <a:schemeClr val="bg1"/>
              </a:solidFill>
              <a:latin typeface="Calibri"/>
              <a:ea typeface="Calibri"/>
              <a:cs typeface="Calibri"/>
            </a:rPr>
            <a:pPr algn="ctr"/>
            <a:t>40.82</a:t>
          </a:fld>
          <a:endParaRPr lang="en-US" sz="2800" b="0" i="0" u="none" strike="noStrike">
            <a:solidFill>
              <a:schemeClr val="bg1"/>
            </a:solidFill>
            <a:latin typeface="Calibri"/>
            <a:ea typeface="Calibri"/>
            <a:cs typeface="Calibri"/>
          </a:endParaRPr>
        </a:p>
      </xdr:txBody>
    </xdr:sp>
    <xdr:clientData/>
  </xdr:twoCellAnchor>
  <xdr:oneCellAnchor>
    <xdr:from>
      <xdr:col>8</xdr:col>
      <xdr:colOff>406400</xdr:colOff>
      <xdr:row>5</xdr:row>
      <xdr:rowOff>50800</xdr:rowOff>
    </xdr:from>
    <xdr:ext cx="1402628" cy="342786"/>
    <xdr:sp macro="" textlink="">
      <xdr:nvSpPr>
        <xdr:cNvPr id="4" name="TextBox 3">
          <a:extLst>
            <a:ext uri="{FF2B5EF4-FFF2-40B4-BE49-F238E27FC236}">
              <a16:creationId xmlns:a16="http://schemas.microsoft.com/office/drawing/2014/main" id="{54344F32-E74F-40E4-8BAA-24B5F40795EC}"/>
            </a:ext>
          </a:extLst>
        </xdr:cNvPr>
        <xdr:cNvSpPr txBox="1"/>
      </xdr:nvSpPr>
      <xdr:spPr>
        <a:xfrm>
          <a:off x="5283200" y="971550"/>
          <a:ext cx="140262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AVERAGE AGE</a:t>
          </a:r>
        </a:p>
      </xdr:txBody>
    </xdr:sp>
    <xdr:clientData/>
  </xdr:oneCellAnchor>
  <xdr:twoCellAnchor>
    <xdr:from>
      <xdr:col>9</xdr:col>
      <xdr:colOff>482600</xdr:colOff>
      <xdr:row>10</xdr:row>
      <xdr:rowOff>76200</xdr:rowOff>
    </xdr:from>
    <xdr:to>
      <xdr:col>13</xdr:col>
      <xdr:colOff>520700</xdr:colOff>
      <xdr:row>22</xdr:row>
      <xdr:rowOff>19050</xdr:rowOff>
    </xdr:to>
    <xdr:graphicFrame macro="">
      <xdr:nvGraphicFramePr>
        <xdr:cNvPr id="21" name="Chart 20">
          <a:extLst>
            <a:ext uri="{FF2B5EF4-FFF2-40B4-BE49-F238E27FC236}">
              <a16:creationId xmlns:a16="http://schemas.microsoft.com/office/drawing/2014/main" id="{732192E8-D9E1-4F9B-A836-398DF48A9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171450</xdr:colOff>
      <xdr:row>23</xdr:row>
      <xdr:rowOff>6350</xdr:rowOff>
    </xdr:from>
    <xdr:to>
      <xdr:col>16</xdr:col>
      <xdr:colOff>558800</xdr:colOff>
      <xdr:row>35</xdr:row>
      <xdr:rowOff>177800</xdr:rowOff>
    </xdr:to>
    <xdr:graphicFrame macro="">
      <xdr:nvGraphicFramePr>
        <xdr:cNvPr id="22" name="Chart 21">
          <a:extLst>
            <a:ext uri="{FF2B5EF4-FFF2-40B4-BE49-F238E27FC236}">
              <a16:creationId xmlns:a16="http://schemas.microsoft.com/office/drawing/2014/main" id="{DFD1E424-F28A-4BDE-9DD2-14726ABE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107950</xdr:colOff>
      <xdr:row>22</xdr:row>
      <xdr:rowOff>171450</xdr:rowOff>
    </xdr:from>
    <xdr:to>
      <xdr:col>5</xdr:col>
      <xdr:colOff>381000</xdr:colOff>
      <xdr:row>35</xdr:row>
      <xdr:rowOff>165100</xdr:rowOff>
    </xdr:to>
    <xdr:graphicFrame macro="">
      <xdr:nvGraphicFramePr>
        <xdr:cNvPr id="26" name="Chart 25">
          <a:extLst>
            <a:ext uri="{FF2B5EF4-FFF2-40B4-BE49-F238E27FC236}">
              <a16:creationId xmlns:a16="http://schemas.microsoft.com/office/drawing/2014/main" id="{EFC5E73B-DA5F-4256-84DE-25CBAB3BC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596900</xdr:colOff>
      <xdr:row>10</xdr:row>
      <xdr:rowOff>76200</xdr:rowOff>
    </xdr:from>
    <xdr:to>
      <xdr:col>9</xdr:col>
      <xdr:colOff>400050</xdr:colOff>
      <xdr:row>22</xdr:row>
      <xdr:rowOff>12700</xdr:rowOff>
    </xdr:to>
    <xdr:graphicFrame macro="">
      <xdr:nvGraphicFramePr>
        <xdr:cNvPr id="28" name="Chart 27">
          <a:extLst>
            <a:ext uri="{FF2B5EF4-FFF2-40B4-BE49-F238E27FC236}">
              <a16:creationId xmlns:a16="http://schemas.microsoft.com/office/drawing/2014/main" id="{BAA71D3E-BA70-4545-BC72-19AD9F184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469900</xdr:colOff>
      <xdr:row>23</xdr:row>
      <xdr:rowOff>6350</xdr:rowOff>
    </xdr:from>
    <xdr:to>
      <xdr:col>10</xdr:col>
      <xdr:colOff>82550</xdr:colOff>
      <xdr:row>35</xdr:row>
      <xdr:rowOff>171450</xdr:rowOff>
    </xdr:to>
    <xdr:graphicFrame macro="">
      <xdr:nvGraphicFramePr>
        <xdr:cNvPr id="29" name="Chart 28">
          <a:extLst>
            <a:ext uri="{FF2B5EF4-FFF2-40B4-BE49-F238E27FC236}">
              <a16:creationId xmlns:a16="http://schemas.microsoft.com/office/drawing/2014/main" id="{BB97AE6F-11B5-4015-8D78-F9942683B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133350</xdr:colOff>
      <xdr:row>10</xdr:row>
      <xdr:rowOff>76200</xdr:rowOff>
    </xdr:from>
    <xdr:to>
      <xdr:col>4</xdr:col>
      <xdr:colOff>527050</xdr:colOff>
      <xdr:row>22</xdr:row>
      <xdr:rowOff>6350</xdr:rowOff>
    </xdr:to>
    <xdr:graphicFrame macro="">
      <xdr:nvGraphicFramePr>
        <xdr:cNvPr id="30" name="Chart 29">
          <a:extLst>
            <a:ext uri="{FF2B5EF4-FFF2-40B4-BE49-F238E27FC236}">
              <a16:creationId xmlns:a16="http://schemas.microsoft.com/office/drawing/2014/main" id="{75DDFD2A-5425-4FBF-911E-E6D59CD1E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76200</xdr:colOff>
      <xdr:row>5</xdr:row>
      <xdr:rowOff>25400</xdr:rowOff>
    </xdr:from>
    <xdr:to>
      <xdr:col>14</xdr:col>
      <xdr:colOff>63500</xdr:colOff>
      <xdr:row>9</xdr:row>
      <xdr:rowOff>50800</xdr:rowOff>
    </xdr:to>
    <xdr:sp macro="" textlink="Calculation!$K$4">
      <xdr:nvSpPr>
        <xdr:cNvPr id="31" name="Rectangle: Rounded Corners 30">
          <a:extLst>
            <a:ext uri="{FF2B5EF4-FFF2-40B4-BE49-F238E27FC236}">
              <a16:creationId xmlns:a16="http://schemas.microsoft.com/office/drawing/2014/main" id="{077D1BDA-CA3B-4EC5-A0EC-E440E5EFEC3F}"/>
            </a:ext>
          </a:extLst>
        </xdr:cNvPr>
        <xdr:cNvSpPr/>
      </xdr:nvSpPr>
      <xdr:spPr>
        <a:xfrm>
          <a:off x="6781800" y="946150"/>
          <a:ext cx="1816100" cy="7620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endParaRPr lang="en-US" sz="2800" b="0" i="0" u="none" strike="noStrike">
            <a:solidFill>
              <a:schemeClr val="bg1"/>
            </a:solidFill>
            <a:latin typeface="Calibri"/>
            <a:ea typeface="Calibri"/>
            <a:cs typeface="Calibri"/>
          </a:endParaRPr>
        </a:p>
      </xdr:txBody>
    </xdr:sp>
    <xdr:clientData/>
  </xdr:twoCellAnchor>
  <xdr:twoCellAnchor editAs="oneCell">
    <xdr:from>
      <xdr:col>11</xdr:col>
      <xdr:colOff>57150</xdr:colOff>
      <xdr:row>5</xdr:row>
      <xdr:rowOff>76200</xdr:rowOff>
    </xdr:from>
    <xdr:to>
      <xdr:col>11</xdr:col>
      <xdr:colOff>615950</xdr:colOff>
      <xdr:row>9</xdr:row>
      <xdr:rowOff>0</xdr:rowOff>
    </xdr:to>
    <xdr:pic>
      <xdr:nvPicPr>
        <xdr:cNvPr id="13" name="Graphic 12" descr="Man">
          <a:extLst>
            <a:ext uri="{FF2B5EF4-FFF2-40B4-BE49-F238E27FC236}">
              <a16:creationId xmlns:a16="http://schemas.microsoft.com/office/drawing/2014/main" id="{9EF7ED5E-A1DB-4F87-B229-ABD26102B09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762750" y="996950"/>
          <a:ext cx="558800" cy="635000"/>
        </a:xfrm>
        <a:prstGeom prst="rect">
          <a:avLst/>
        </a:prstGeom>
      </xdr:spPr>
    </xdr:pic>
    <xdr:clientData/>
  </xdr:twoCellAnchor>
  <xdr:twoCellAnchor editAs="oneCell">
    <xdr:from>
      <xdr:col>12</xdr:col>
      <xdr:colOff>311150</xdr:colOff>
      <xdr:row>5</xdr:row>
      <xdr:rowOff>88900</xdr:rowOff>
    </xdr:from>
    <xdr:to>
      <xdr:col>13</xdr:col>
      <xdr:colOff>177800</xdr:colOff>
      <xdr:row>9</xdr:row>
      <xdr:rowOff>6350</xdr:rowOff>
    </xdr:to>
    <xdr:pic>
      <xdr:nvPicPr>
        <xdr:cNvPr id="32" name="Graphic 31" descr="Woman">
          <a:extLst>
            <a:ext uri="{FF2B5EF4-FFF2-40B4-BE49-F238E27FC236}">
              <a16:creationId xmlns:a16="http://schemas.microsoft.com/office/drawing/2014/main" id="{DC8ABC8C-4901-43EF-BC01-55282E5D8F4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626350" y="1009650"/>
          <a:ext cx="527050" cy="628650"/>
        </a:xfrm>
        <a:prstGeom prst="rect">
          <a:avLst/>
        </a:prstGeom>
      </xdr:spPr>
    </xdr:pic>
    <xdr:clientData/>
  </xdr:twoCellAnchor>
  <xdr:oneCellAnchor>
    <xdr:from>
      <xdr:col>11</xdr:col>
      <xdr:colOff>482600</xdr:colOff>
      <xdr:row>5</xdr:row>
      <xdr:rowOff>133350</xdr:rowOff>
    </xdr:from>
    <xdr:ext cx="548612" cy="530658"/>
    <xdr:sp macro="" textlink="">
      <xdr:nvSpPr>
        <xdr:cNvPr id="34" name="TextBox 33">
          <a:extLst>
            <a:ext uri="{FF2B5EF4-FFF2-40B4-BE49-F238E27FC236}">
              <a16:creationId xmlns:a16="http://schemas.microsoft.com/office/drawing/2014/main" id="{D8682E82-364F-47E8-A734-2379BD29E693}"/>
            </a:ext>
          </a:extLst>
        </xdr:cNvPr>
        <xdr:cNvSpPr txBox="1"/>
      </xdr:nvSpPr>
      <xdr:spPr>
        <a:xfrm>
          <a:off x="7188200" y="1054100"/>
          <a:ext cx="54861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solidFill>
                <a:schemeClr val="bg1"/>
              </a:solidFill>
            </a:rPr>
            <a:t>59</a:t>
          </a:r>
        </a:p>
      </xdr:txBody>
    </xdr:sp>
    <xdr:clientData/>
  </xdr:oneCellAnchor>
  <xdr:oneCellAnchor>
    <xdr:from>
      <xdr:col>13</xdr:col>
      <xdr:colOff>139700</xdr:colOff>
      <xdr:row>5</xdr:row>
      <xdr:rowOff>120650</xdr:rowOff>
    </xdr:from>
    <xdr:ext cx="548612" cy="530658"/>
    <xdr:sp macro="" textlink="">
      <xdr:nvSpPr>
        <xdr:cNvPr id="35" name="TextBox 34">
          <a:extLst>
            <a:ext uri="{FF2B5EF4-FFF2-40B4-BE49-F238E27FC236}">
              <a16:creationId xmlns:a16="http://schemas.microsoft.com/office/drawing/2014/main" id="{A202886F-8A86-4824-B3DF-41D921058D4A}"/>
            </a:ext>
          </a:extLst>
        </xdr:cNvPr>
        <xdr:cNvSpPr txBox="1"/>
      </xdr:nvSpPr>
      <xdr:spPr>
        <a:xfrm>
          <a:off x="8064500" y="1041400"/>
          <a:ext cx="54861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0">
              <a:solidFill>
                <a:schemeClr val="bg1"/>
              </a:solidFill>
            </a:rPr>
            <a:t>41</a:t>
          </a:r>
        </a:p>
      </xdr:txBody>
    </xdr:sp>
    <xdr:clientData/>
  </xdr:oneCellAnchor>
  <xdr:twoCellAnchor>
    <xdr:from>
      <xdr:col>13</xdr:col>
      <xdr:colOff>603250</xdr:colOff>
      <xdr:row>10</xdr:row>
      <xdr:rowOff>76200</xdr:rowOff>
    </xdr:from>
    <xdr:to>
      <xdr:col>18</xdr:col>
      <xdr:colOff>546100</xdr:colOff>
      <xdr:row>22</xdr:row>
      <xdr:rowOff>19050</xdr:rowOff>
    </xdr:to>
    <xdr:graphicFrame macro="">
      <xdr:nvGraphicFramePr>
        <xdr:cNvPr id="36" name="Chart 35">
          <a:extLst>
            <a:ext uri="{FF2B5EF4-FFF2-40B4-BE49-F238E27FC236}">
              <a16:creationId xmlns:a16="http://schemas.microsoft.com/office/drawing/2014/main" id="{6A04E723-29B6-47B1-ABCD-E8357BE1A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508000</xdr:colOff>
      <xdr:row>5</xdr:row>
      <xdr:rowOff>158750</xdr:rowOff>
    </xdr:from>
    <xdr:to>
      <xdr:col>18</xdr:col>
      <xdr:colOff>355600</xdr:colOff>
      <xdr:row>9</xdr:row>
      <xdr:rowOff>146049</xdr:rowOff>
    </xdr:to>
    <mc:AlternateContent xmlns:mc="http://schemas.openxmlformats.org/markup-compatibility/2006" xmlns:a14="http://schemas.microsoft.com/office/drawing/2010/main">
      <mc:Choice Requires="a14">
        <xdr:graphicFrame macro="">
          <xdr:nvGraphicFramePr>
            <xdr:cNvPr id="38" name="Gender 1">
              <a:extLst>
                <a:ext uri="{FF2B5EF4-FFF2-40B4-BE49-F238E27FC236}">
                  <a16:creationId xmlns:a16="http://schemas.microsoft.com/office/drawing/2014/main" id="{51CB1708-F431-478C-A74E-FA240C4FDF7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14000" y="1047750"/>
              <a:ext cx="1828800" cy="69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101600</xdr:colOff>
      <xdr:row>23</xdr:row>
      <xdr:rowOff>12700</xdr:rowOff>
    </xdr:from>
    <xdr:to>
      <xdr:col>22</xdr:col>
      <xdr:colOff>609600</xdr:colOff>
      <xdr:row>33</xdr:row>
      <xdr:rowOff>31750</xdr:rowOff>
    </xdr:to>
    <mc:AlternateContent xmlns:mc="http://schemas.openxmlformats.org/markup-compatibility/2006" xmlns:a14="http://schemas.microsoft.com/office/drawing/2010/main">
      <mc:Choice Requires="a14">
        <xdr:graphicFrame macro="">
          <xdr:nvGraphicFramePr>
            <xdr:cNvPr id="40" name="Department 1">
              <a:extLst>
                <a:ext uri="{FF2B5EF4-FFF2-40B4-BE49-F238E27FC236}">
                  <a16:creationId xmlns:a16="http://schemas.microsoft.com/office/drawing/2014/main" id="{7AADF36B-689E-479B-BD3D-4CA7C069C12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309600" y="4102100"/>
              <a:ext cx="1828800"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4</xdr:row>
      <xdr:rowOff>146050</xdr:rowOff>
    </xdr:from>
    <xdr:to>
      <xdr:col>21</xdr:col>
      <xdr:colOff>565150</xdr:colOff>
      <xdr:row>10</xdr:row>
      <xdr:rowOff>44450</xdr:rowOff>
    </xdr:to>
    <mc:AlternateContent xmlns:mc="http://schemas.openxmlformats.org/markup-compatibility/2006" xmlns:a14="http://schemas.microsoft.com/office/drawing/2010/main">
      <mc:Choice Requires="a14">
        <xdr:graphicFrame macro="">
          <xdr:nvGraphicFramePr>
            <xdr:cNvPr id="42" name="Marital Status 1">
              <a:extLst>
                <a:ext uri="{FF2B5EF4-FFF2-40B4-BE49-F238E27FC236}">
                  <a16:creationId xmlns:a16="http://schemas.microsoft.com/office/drawing/2014/main" id="{E1EEF6AC-CCD3-4AEB-928F-78E9D00EE62A}"/>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2604750" y="857250"/>
              <a:ext cx="182880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23</xdr:row>
      <xdr:rowOff>19050</xdr:rowOff>
    </xdr:from>
    <xdr:to>
      <xdr:col>19</xdr:col>
      <xdr:colOff>546100</xdr:colOff>
      <xdr:row>37</xdr:row>
      <xdr:rowOff>53975</xdr:rowOff>
    </xdr:to>
    <mc:AlternateContent xmlns:mc="http://schemas.openxmlformats.org/markup-compatibility/2006" xmlns:a14="http://schemas.microsoft.com/office/drawing/2010/main">
      <mc:Choice Requires="a14">
        <xdr:graphicFrame macro="">
          <xdr:nvGraphicFramePr>
            <xdr:cNvPr id="44" name="Job Role 1">
              <a:extLst>
                <a:ext uri="{FF2B5EF4-FFF2-40B4-BE49-F238E27FC236}">
                  <a16:creationId xmlns:a16="http://schemas.microsoft.com/office/drawing/2014/main" id="{BC630BA5-2E5F-4175-886C-6026053C57BE}"/>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11264900" y="4108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12700</xdr:colOff>
      <xdr:row>17</xdr:row>
      <xdr:rowOff>44450</xdr:rowOff>
    </xdr:from>
    <xdr:to>
      <xdr:col>21</xdr:col>
      <xdr:colOff>520700</xdr:colOff>
      <xdr:row>22</xdr:row>
      <xdr:rowOff>146050</xdr:rowOff>
    </xdr:to>
    <mc:AlternateContent xmlns:mc="http://schemas.openxmlformats.org/markup-compatibility/2006" xmlns:a14="http://schemas.microsoft.com/office/drawing/2010/main">
      <mc:Choice Requires="a14">
        <xdr:graphicFrame macro="">
          <xdr:nvGraphicFramePr>
            <xdr:cNvPr id="46" name="Salary Band 1">
              <a:extLst>
                <a:ext uri="{FF2B5EF4-FFF2-40B4-BE49-F238E27FC236}">
                  <a16:creationId xmlns:a16="http://schemas.microsoft.com/office/drawing/2014/main" id="{BAA0A5DE-2D19-437C-B59D-BB48999F8336}"/>
                </a:ext>
              </a:extLst>
            </xdr:cNvPr>
            <xdr:cNvGraphicFramePr/>
          </xdr:nvGraphicFramePr>
          <xdr:xfrm>
            <a:off x="0" y="0"/>
            <a:ext cx="0" cy="0"/>
          </xdr:xfrm>
          <a:graphic>
            <a:graphicData uri="http://schemas.microsoft.com/office/drawing/2010/slicer">
              <sle:slicer xmlns:sle="http://schemas.microsoft.com/office/drawing/2010/slicer" name="Salary Band 1"/>
            </a:graphicData>
          </a:graphic>
        </xdr:graphicFrame>
      </mc:Choice>
      <mc:Fallback xmlns="">
        <xdr:sp macro="" textlink="">
          <xdr:nvSpPr>
            <xdr:cNvPr id="0" name=""/>
            <xdr:cNvSpPr>
              <a:spLocks noTextEdit="1"/>
            </xdr:cNvSpPr>
          </xdr:nvSpPr>
          <xdr:spPr>
            <a:xfrm>
              <a:off x="12560300" y="3067050"/>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10</xdr:row>
      <xdr:rowOff>82550</xdr:rowOff>
    </xdr:from>
    <xdr:to>
      <xdr:col>21</xdr:col>
      <xdr:colOff>546100</xdr:colOff>
      <xdr:row>17</xdr:row>
      <xdr:rowOff>44450</xdr:rowOff>
    </xdr:to>
    <mc:AlternateContent xmlns:mc="http://schemas.openxmlformats.org/markup-compatibility/2006" xmlns:a14="http://schemas.microsoft.com/office/drawing/2010/main">
      <mc:Choice Requires="a14">
        <xdr:graphicFrame macro="">
          <xdr:nvGraphicFramePr>
            <xdr:cNvPr id="48" name="Age Group 1">
              <a:extLst>
                <a:ext uri="{FF2B5EF4-FFF2-40B4-BE49-F238E27FC236}">
                  <a16:creationId xmlns:a16="http://schemas.microsoft.com/office/drawing/2014/main" id="{19EABD3B-8602-482A-9EEA-78D85F2D774C}"/>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2585700" y="1860550"/>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Chaudhary" refreshedDate="46164.44933541667" createdVersion="6" refreshedVersion="6" minRefreshableVersion="3" recordCount="100" xr:uid="{F058A6FC-D5C0-4EA2-9C69-B77AFB137774}">
  <cacheSource type="worksheet">
    <worksheetSource name="HR_Attrition_Data"/>
  </cacheSource>
  <cacheFields count="16">
    <cacheField name="Employee ID" numFmtId="0">
      <sharedItems/>
    </cacheField>
    <cacheField name="Name" numFmtId="0">
      <sharedItems/>
    </cacheField>
    <cacheField name="Age" numFmtId="1">
      <sharedItems containsSemiMixedTypes="0" containsString="0" containsNumber="1" containsInteger="1" minValue="21" maxValue="58"/>
    </cacheField>
    <cacheField name="Gender" numFmtId="0">
      <sharedItems count="2">
        <s v="Female"/>
        <s v="Male"/>
      </sharedItems>
    </cacheField>
    <cacheField name="Department" numFmtId="0">
      <sharedItems count="6">
        <s v="Marketing"/>
        <s v="HR"/>
        <s v="IT"/>
        <s v="Operations"/>
        <s v="Sales"/>
        <s v="Finance"/>
      </sharedItems>
    </cacheField>
    <cacheField name="Job Role" numFmtId="0">
      <sharedItems count="13">
        <s v="Marketing Executive"/>
        <s v="Recruiter"/>
        <s v="Data Analyst"/>
        <s v="Operations Executive"/>
        <s v="HR Executive"/>
        <s v="SEO Specialist"/>
        <s v="Sales Executive"/>
        <s v="Software Engineer"/>
        <s v="Operations Manager"/>
        <s v="HR Manager"/>
        <s v="Sales Manager"/>
        <s v="Accountant"/>
        <s v="Financial Analyst"/>
      </sharedItems>
    </cacheField>
    <cacheField name="Education" numFmtId="0">
      <sharedItems/>
    </cacheField>
    <cacheField name="Education Field" numFmtId="0">
      <sharedItems count="5">
        <s v="Marketing"/>
        <s v="HR"/>
        <s v="IT"/>
        <s v="Business"/>
        <s v="Finance"/>
      </sharedItems>
    </cacheField>
    <cacheField name="Marital Status" numFmtId="0">
      <sharedItems count="3">
        <s v="Single"/>
        <s v="Divorced"/>
        <s v="Married"/>
      </sharedItems>
    </cacheField>
    <cacheField name="Salary" numFmtId="164">
      <sharedItems containsSemiMixedTypes="0" containsString="0" containsNumber="1" containsInteger="1" minValue="30505" maxValue="149644" count="100">
        <n v="128891"/>
        <n v="60035"/>
        <n v="93481"/>
        <n v="70209"/>
        <n v="52610"/>
        <n v="97963"/>
        <n v="146519"/>
        <n v="101929"/>
        <n v="73482"/>
        <n v="82554"/>
        <n v="129393"/>
        <n v="52173"/>
        <n v="108726"/>
        <n v="74562"/>
        <n v="44435"/>
        <n v="91784"/>
        <n v="38616"/>
        <n v="36914"/>
        <n v="107536"/>
        <n v="83606"/>
        <n v="148674"/>
        <n v="32723"/>
        <n v="47351"/>
        <n v="135854"/>
        <n v="117885"/>
        <n v="60546"/>
        <n v="99295"/>
        <n v="127752"/>
        <n v="124471"/>
        <n v="126012"/>
        <n v="53131"/>
        <n v="94590"/>
        <n v="122003"/>
        <n v="128931"/>
        <n v="75027"/>
        <n v="106260"/>
        <n v="30505"/>
        <n v="100891"/>
        <n v="51195"/>
        <n v="91244"/>
        <n v="130298"/>
        <n v="93017"/>
        <n v="61993"/>
        <n v="125699"/>
        <n v="62450"/>
        <n v="116582"/>
        <n v="135125"/>
        <n v="113982"/>
        <n v="142249"/>
        <n v="89735"/>
        <n v="86113"/>
        <n v="133168"/>
        <n v="99117"/>
        <n v="55320"/>
        <n v="118874"/>
        <n v="140920"/>
        <n v="118696"/>
        <n v="97152"/>
        <n v="111688"/>
        <n v="70675"/>
        <n v="54550"/>
        <n v="122504"/>
        <n v="32638"/>
        <n v="149644"/>
        <n v="94363"/>
        <n v="61643"/>
        <n v="108193"/>
        <n v="109621"/>
        <n v="132218"/>
        <n v="56700"/>
        <n v="48941"/>
        <n v="104900"/>
        <n v="147440"/>
        <n v="134424"/>
        <n v="146584"/>
        <n v="63495"/>
        <n v="149221"/>
        <n v="32657"/>
        <n v="109405"/>
        <n v="79971"/>
        <n v="46219"/>
        <n v="67415"/>
        <n v="68435"/>
        <n v="85882"/>
        <n v="71094"/>
        <n v="103525"/>
        <n v="142620"/>
        <n v="71146"/>
        <n v="88824"/>
        <n v="36025"/>
        <n v="58552"/>
        <n v="139383"/>
        <n v="105715"/>
        <n v="78091"/>
        <n v="52052"/>
        <n v="136810"/>
        <n v="147356"/>
        <n v="46359"/>
        <n v="66760"/>
        <n v="90898"/>
      </sharedItems>
    </cacheField>
    <cacheField name="Job Satisfaction" numFmtId="0">
      <sharedItems/>
    </cacheField>
    <cacheField name="Job Satisfaction Flag" numFmtId="0">
      <sharedItems containsSemiMixedTypes="0" containsString="0" containsNumber="1" containsInteger="1" minValue="1" maxValue="3"/>
    </cacheField>
    <cacheField name="Attrition" numFmtId="0">
      <sharedItems count="2">
        <s v="No"/>
        <s v="Yes"/>
      </sharedItems>
    </cacheField>
    <cacheField name="Attrition Flag" numFmtId="0">
      <sharedItems containsSemiMixedTypes="0" containsString="0" containsNumber="1" containsInteger="1" minValue="0" maxValue="1" count="2">
        <n v="0"/>
        <n v="1"/>
      </sharedItems>
    </cacheField>
    <cacheField name="Age Group" numFmtId="0">
      <sharedItems count="4">
        <s v="25-34"/>
        <s v="45+"/>
        <s v="35-44"/>
        <s v="&lt;25"/>
      </sharedItems>
    </cacheField>
    <cacheField name="Salary Band" numFmtId="0">
      <sharedItems count="3">
        <s v="High"/>
        <s v="Medium"/>
        <s v="Low"/>
      </sharedItems>
    </cacheField>
  </cacheFields>
  <extLst>
    <ext xmlns:x14="http://schemas.microsoft.com/office/spreadsheetml/2009/9/main" uri="{725AE2AE-9491-48be-B2B4-4EB974FC3084}">
      <x14:pivotCacheDefinition pivotCacheId="941963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MP001"/>
    <s v="Lori Camacho"/>
    <n v="31"/>
    <x v="0"/>
    <x v="0"/>
    <x v="0"/>
    <s v="Bachelor's"/>
    <x v="0"/>
    <x v="0"/>
    <x v="0"/>
    <s v="Medium"/>
    <n v="2"/>
    <x v="0"/>
    <x v="0"/>
    <x v="0"/>
    <x v="0"/>
  </r>
  <r>
    <s v="EMP002"/>
    <s v="April Evans"/>
    <n v="55"/>
    <x v="0"/>
    <x v="1"/>
    <x v="1"/>
    <s v="MBA"/>
    <x v="1"/>
    <x v="1"/>
    <x v="1"/>
    <s v="Low"/>
    <n v="1"/>
    <x v="1"/>
    <x v="1"/>
    <x v="1"/>
    <x v="1"/>
  </r>
  <r>
    <s v="EMP003"/>
    <s v="Chase Garcia"/>
    <n v="27"/>
    <x v="0"/>
    <x v="2"/>
    <x v="2"/>
    <s v="Bachelor's"/>
    <x v="2"/>
    <x v="1"/>
    <x v="2"/>
    <s v="Low"/>
    <n v="1"/>
    <x v="1"/>
    <x v="1"/>
    <x v="0"/>
    <x v="1"/>
  </r>
  <r>
    <s v="EMP004"/>
    <s v="Andrea Cook"/>
    <n v="36"/>
    <x v="1"/>
    <x v="2"/>
    <x v="2"/>
    <s v="MBA"/>
    <x v="3"/>
    <x v="0"/>
    <x v="3"/>
    <s v="Medium"/>
    <n v="2"/>
    <x v="1"/>
    <x v="1"/>
    <x v="2"/>
    <x v="1"/>
  </r>
  <r>
    <s v="EMP005"/>
    <s v="Anne Bullock"/>
    <n v="21"/>
    <x v="1"/>
    <x v="3"/>
    <x v="3"/>
    <s v="MBA"/>
    <x v="3"/>
    <x v="2"/>
    <x v="4"/>
    <s v="Low"/>
    <n v="1"/>
    <x v="1"/>
    <x v="1"/>
    <x v="3"/>
    <x v="1"/>
  </r>
  <r>
    <s v="EMP006"/>
    <s v="Lisa Hester"/>
    <n v="56"/>
    <x v="1"/>
    <x v="1"/>
    <x v="4"/>
    <s v="Master's"/>
    <x v="1"/>
    <x v="2"/>
    <x v="5"/>
    <s v="Low"/>
    <n v="1"/>
    <x v="0"/>
    <x v="0"/>
    <x v="1"/>
    <x v="1"/>
  </r>
  <r>
    <s v="EMP007"/>
    <s v="Tanya Brown"/>
    <n v="39"/>
    <x v="0"/>
    <x v="0"/>
    <x v="5"/>
    <s v="MBA"/>
    <x v="0"/>
    <x v="0"/>
    <x v="6"/>
    <s v="High"/>
    <n v="3"/>
    <x v="1"/>
    <x v="1"/>
    <x v="2"/>
    <x v="0"/>
  </r>
  <r>
    <s v="EMP008"/>
    <s v="Crystal Thompson"/>
    <n v="25"/>
    <x v="1"/>
    <x v="4"/>
    <x v="6"/>
    <s v="Master's"/>
    <x v="3"/>
    <x v="0"/>
    <x v="7"/>
    <s v="High"/>
    <n v="3"/>
    <x v="1"/>
    <x v="1"/>
    <x v="0"/>
    <x v="0"/>
  </r>
  <r>
    <s v="EMP009"/>
    <s v="Kyle Montgomery"/>
    <n v="31"/>
    <x v="1"/>
    <x v="1"/>
    <x v="4"/>
    <s v="Bachelor's"/>
    <x v="0"/>
    <x v="2"/>
    <x v="8"/>
    <s v="Medium"/>
    <n v="2"/>
    <x v="0"/>
    <x v="0"/>
    <x v="0"/>
    <x v="1"/>
  </r>
  <r>
    <s v="EMP010"/>
    <s v="Anthony Houston"/>
    <n v="21"/>
    <x v="0"/>
    <x v="2"/>
    <x v="7"/>
    <s v="Bachelor's"/>
    <x v="2"/>
    <x v="1"/>
    <x v="9"/>
    <s v="Medium"/>
    <n v="2"/>
    <x v="1"/>
    <x v="1"/>
    <x v="3"/>
    <x v="1"/>
  </r>
  <r>
    <s v="EMP011"/>
    <s v="Jeffrey Lucas"/>
    <n v="51"/>
    <x v="1"/>
    <x v="0"/>
    <x v="5"/>
    <s v="MBA"/>
    <x v="0"/>
    <x v="2"/>
    <x v="10"/>
    <s v="High"/>
    <n v="3"/>
    <x v="0"/>
    <x v="0"/>
    <x v="1"/>
    <x v="0"/>
  </r>
  <r>
    <s v="EMP012"/>
    <s v="Kirk Hoffman"/>
    <n v="36"/>
    <x v="1"/>
    <x v="0"/>
    <x v="0"/>
    <s v="MBA"/>
    <x v="0"/>
    <x v="1"/>
    <x v="11"/>
    <s v="High"/>
    <n v="3"/>
    <x v="1"/>
    <x v="1"/>
    <x v="2"/>
    <x v="1"/>
  </r>
  <r>
    <s v="EMP013"/>
    <s v="Jennifer Kennedy"/>
    <n v="30"/>
    <x v="1"/>
    <x v="3"/>
    <x v="3"/>
    <s v="MBA"/>
    <x v="0"/>
    <x v="1"/>
    <x v="12"/>
    <s v="Low"/>
    <n v="1"/>
    <x v="0"/>
    <x v="0"/>
    <x v="0"/>
    <x v="0"/>
  </r>
  <r>
    <s v="EMP014"/>
    <s v="Kelly Parker"/>
    <n v="42"/>
    <x v="1"/>
    <x v="0"/>
    <x v="5"/>
    <s v="MBA"/>
    <x v="4"/>
    <x v="0"/>
    <x v="13"/>
    <s v="High"/>
    <n v="3"/>
    <x v="1"/>
    <x v="1"/>
    <x v="2"/>
    <x v="1"/>
  </r>
  <r>
    <s v="EMP015"/>
    <s v="Shannon Hurley"/>
    <n v="51"/>
    <x v="1"/>
    <x v="3"/>
    <x v="8"/>
    <s v="MBA"/>
    <x v="0"/>
    <x v="1"/>
    <x v="14"/>
    <s v="High"/>
    <n v="3"/>
    <x v="1"/>
    <x v="1"/>
    <x v="1"/>
    <x v="2"/>
  </r>
  <r>
    <s v="EMP016"/>
    <s v="Denise Wright"/>
    <n v="51"/>
    <x v="1"/>
    <x v="1"/>
    <x v="1"/>
    <s v="Master's"/>
    <x v="2"/>
    <x v="0"/>
    <x v="15"/>
    <s v="High"/>
    <n v="3"/>
    <x v="1"/>
    <x v="1"/>
    <x v="1"/>
    <x v="1"/>
  </r>
  <r>
    <s v="EMP017"/>
    <s v="Sherry Fuller"/>
    <n v="40"/>
    <x v="1"/>
    <x v="2"/>
    <x v="7"/>
    <s v="Bachelor's"/>
    <x v="4"/>
    <x v="1"/>
    <x v="16"/>
    <s v="Medium"/>
    <n v="2"/>
    <x v="1"/>
    <x v="1"/>
    <x v="2"/>
    <x v="2"/>
  </r>
  <r>
    <s v="EMP018"/>
    <s v="Donna Swanson"/>
    <n v="39"/>
    <x v="0"/>
    <x v="1"/>
    <x v="1"/>
    <s v="MBA"/>
    <x v="1"/>
    <x v="1"/>
    <x v="17"/>
    <s v="Low"/>
    <n v="1"/>
    <x v="0"/>
    <x v="0"/>
    <x v="2"/>
    <x v="2"/>
  </r>
  <r>
    <s v="EMP019"/>
    <s v="Charles Peters"/>
    <n v="28"/>
    <x v="0"/>
    <x v="1"/>
    <x v="9"/>
    <s v="Master's"/>
    <x v="3"/>
    <x v="1"/>
    <x v="18"/>
    <s v="Low"/>
    <n v="1"/>
    <x v="1"/>
    <x v="1"/>
    <x v="0"/>
    <x v="0"/>
  </r>
  <r>
    <s v="EMP020"/>
    <s v="Christina Roberts"/>
    <n v="53"/>
    <x v="0"/>
    <x v="4"/>
    <x v="10"/>
    <s v="MBA"/>
    <x v="0"/>
    <x v="0"/>
    <x v="19"/>
    <s v="Low"/>
    <n v="1"/>
    <x v="1"/>
    <x v="1"/>
    <x v="1"/>
    <x v="1"/>
  </r>
  <r>
    <s v="EMP021"/>
    <s v="Joseph Fields"/>
    <n v="23"/>
    <x v="0"/>
    <x v="0"/>
    <x v="0"/>
    <s v="MBA"/>
    <x v="4"/>
    <x v="0"/>
    <x v="20"/>
    <s v="Medium"/>
    <n v="2"/>
    <x v="1"/>
    <x v="1"/>
    <x v="3"/>
    <x v="0"/>
  </r>
  <r>
    <s v="EMP022"/>
    <s v="Ashley Patterson"/>
    <n v="33"/>
    <x v="0"/>
    <x v="5"/>
    <x v="11"/>
    <s v="Bachelor's"/>
    <x v="1"/>
    <x v="2"/>
    <x v="21"/>
    <s v="Low"/>
    <n v="1"/>
    <x v="0"/>
    <x v="0"/>
    <x v="0"/>
    <x v="2"/>
  </r>
  <r>
    <s v="EMP023"/>
    <s v="Suzanne Medina"/>
    <n v="57"/>
    <x v="1"/>
    <x v="2"/>
    <x v="2"/>
    <s v="Master's"/>
    <x v="0"/>
    <x v="1"/>
    <x v="22"/>
    <s v="Medium"/>
    <n v="2"/>
    <x v="0"/>
    <x v="0"/>
    <x v="1"/>
    <x v="2"/>
  </r>
  <r>
    <s v="EMP024"/>
    <s v="Sherry Savage"/>
    <n v="56"/>
    <x v="1"/>
    <x v="0"/>
    <x v="5"/>
    <s v="Bachelor's"/>
    <x v="3"/>
    <x v="0"/>
    <x v="23"/>
    <s v="Medium"/>
    <n v="2"/>
    <x v="0"/>
    <x v="0"/>
    <x v="1"/>
    <x v="0"/>
  </r>
  <r>
    <s v="EMP025"/>
    <s v="Heather Davis"/>
    <n v="38"/>
    <x v="0"/>
    <x v="0"/>
    <x v="5"/>
    <s v="MBA"/>
    <x v="1"/>
    <x v="0"/>
    <x v="24"/>
    <s v="Medium"/>
    <n v="2"/>
    <x v="1"/>
    <x v="1"/>
    <x v="2"/>
    <x v="0"/>
  </r>
  <r>
    <s v="EMP026"/>
    <s v="Jennifer Ray"/>
    <n v="56"/>
    <x v="1"/>
    <x v="5"/>
    <x v="11"/>
    <s v="Master's"/>
    <x v="3"/>
    <x v="1"/>
    <x v="25"/>
    <s v="Medium"/>
    <n v="2"/>
    <x v="1"/>
    <x v="1"/>
    <x v="1"/>
    <x v="1"/>
  </r>
  <r>
    <s v="EMP027"/>
    <s v="Zachary Schneider"/>
    <n v="51"/>
    <x v="0"/>
    <x v="0"/>
    <x v="5"/>
    <s v="Master's"/>
    <x v="0"/>
    <x v="1"/>
    <x v="26"/>
    <s v="Medium"/>
    <n v="2"/>
    <x v="0"/>
    <x v="0"/>
    <x v="1"/>
    <x v="1"/>
  </r>
  <r>
    <s v="EMP028"/>
    <s v="Ricky Ryan"/>
    <n v="40"/>
    <x v="1"/>
    <x v="5"/>
    <x v="12"/>
    <s v="MBA"/>
    <x v="0"/>
    <x v="2"/>
    <x v="27"/>
    <s v="Low"/>
    <n v="1"/>
    <x v="1"/>
    <x v="1"/>
    <x v="2"/>
    <x v="0"/>
  </r>
  <r>
    <s v="EMP029"/>
    <s v="Mark Conner"/>
    <n v="47"/>
    <x v="1"/>
    <x v="2"/>
    <x v="2"/>
    <s v="MBA"/>
    <x v="1"/>
    <x v="0"/>
    <x v="28"/>
    <s v="High"/>
    <n v="3"/>
    <x v="1"/>
    <x v="1"/>
    <x v="1"/>
    <x v="0"/>
  </r>
  <r>
    <s v="EMP030"/>
    <s v="Benjamin Simpson"/>
    <n v="35"/>
    <x v="0"/>
    <x v="0"/>
    <x v="5"/>
    <s v="MBA"/>
    <x v="0"/>
    <x v="1"/>
    <x v="29"/>
    <s v="High"/>
    <n v="3"/>
    <x v="0"/>
    <x v="0"/>
    <x v="2"/>
    <x v="0"/>
  </r>
  <r>
    <s v="EMP031"/>
    <s v="Cristian Wright"/>
    <n v="29"/>
    <x v="0"/>
    <x v="4"/>
    <x v="10"/>
    <s v="MBA"/>
    <x v="4"/>
    <x v="0"/>
    <x v="30"/>
    <s v="Low"/>
    <n v="1"/>
    <x v="1"/>
    <x v="1"/>
    <x v="0"/>
    <x v="1"/>
  </r>
  <r>
    <s v="EMP032"/>
    <s v="Andrew Kramer"/>
    <n v="50"/>
    <x v="1"/>
    <x v="2"/>
    <x v="7"/>
    <s v="Bachelor's"/>
    <x v="0"/>
    <x v="2"/>
    <x v="31"/>
    <s v="High"/>
    <n v="3"/>
    <x v="0"/>
    <x v="0"/>
    <x v="1"/>
    <x v="1"/>
  </r>
  <r>
    <s v="EMP033"/>
    <s v="Jason Smith"/>
    <n v="30"/>
    <x v="1"/>
    <x v="3"/>
    <x v="3"/>
    <s v="Master's"/>
    <x v="0"/>
    <x v="0"/>
    <x v="32"/>
    <s v="High"/>
    <n v="3"/>
    <x v="0"/>
    <x v="0"/>
    <x v="0"/>
    <x v="0"/>
  </r>
  <r>
    <s v="EMP034"/>
    <s v="Shannon Nelson MD"/>
    <n v="47"/>
    <x v="0"/>
    <x v="3"/>
    <x v="3"/>
    <s v="Master's"/>
    <x v="4"/>
    <x v="1"/>
    <x v="33"/>
    <s v="Low"/>
    <n v="1"/>
    <x v="1"/>
    <x v="1"/>
    <x v="1"/>
    <x v="0"/>
  </r>
  <r>
    <s v="EMP035"/>
    <s v="Luis Hampton"/>
    <n v="45"/>
    <x v="0"/>
    <x v="5"/>
    <x v="12"/>
    <s v="Master's"/>
    <x v="1"/>
    <x v="0"/>
    <x v="34"/>
    <s v="High"/>
    <n v="3"/>
    <x v="1"/>
    <x v="1"/>
    <x v="1"/>
    <x v="1"/>
  </r>
  <r>
    <s v="EMP036"/>
    <s v="Beth Chandler"/>
    <n v="49"/>
    <x v="1"/>
    <x v="2"/>
    <x v="7"/>
    <s v="MBA"/>
    <x v="3"/>
    <x v="2"/>
    <x v="35"/>
    <s v="High"/>
    <n v="3"/>
    <x v="0"/>
    <x v="0"/>
    <x v="1"/>
    <x v="0"/>
  </r>
  <r>
    <s v="EMP037"/>
    <s v="Diane Buchanan"/>
    <n v="56"/>
    <x v="0"/>
    <x v="1"/>
    <x v="9"/>
    <s v="MBA"/>
    <x v="1"/>
    <x v="2"/>
    <x v="36"/>
    <s v="Medium"/>
    <n v="2"/>
    <x v="0"/>
    <x v="0"/>
    <x v="1"/>
    <x v="2"/>
  </r>
  <r>
    <s v="EMP038"/>
    <s v="Stacy Perry"/>
    <n v="37"/>
    <x v="1"/>
    <x v="2"/>
    <x v="7"/>
    <s v="Master's"/>
    <x v="3"/>
    <x v="2"/>
    <x v="37"/>
    <s v="Low"/>
    <n v="1"/>
    <x v="1"/>
    <x v="1"/>
    <x v="2"/>
    <x v="0"/>
  </r>
  <r>
    <s v="EMP039"/>
    <s v="James Fitzpatrick"/>
    <n v="56"/>
    <x v="1"/>
    <x v="1"/>
    <x v="4"/>
    <s v="Master's"/>
    <x v="4"/>
    <x v="1"/>
    <x v="38"/>
    <s v="Low"/>
    <n v="1"/>
    <x v="1"/>
    <x v="1"/>
    <x v="1"/>
    <x v="1"/>
  </r>
  <r>
    <s v="EMP040"/>
    <s v="Gina Marshall"/>
    <n v="31"/>
    <x v="0"/>
    <x v="5"/>
    <x v="11"/>
    <s v="MBA"/>
    <x v="2"/>
    <x v="0"/>
    <x v="39"/>
    <s v="High"/>
    <n v="3"/>
    <x v="1"/>
    <x v="1"/>
    <x v="0"/>
    <x v="1"/>
  </r>
  <r>
    <s v="EMP041"/>
    <s v="Michael Hall"/>
    <n v="21"/>
    <x v="1"/>
    <x v="0"/>
    <x v="0"/>
    <s v="Bachelor's"/>
    <x v="3"/>
    <x v="2"/>
    <x v="40"/>
    <s v="Low"/>
    <n v="1"/>
    <x v="0"/>
    <x v="0"/>
    <x v="3"/>
    <x v="0"/>
  </r>
  <r>
    <s v="EMP042"/>
    <s v="Sarah Brown"/>
    <n v="37"/>
    <x v="1"/>
    <x v="3"/>
    <x v="3"/>
    <s v="Master's"/>
    <x v="3"/>
    <x v="0"/>
    <x v="41"/>
    <s v="Low"/>
    <n v="1"/>
    <x v="0"/>
    <x v="0"/>
    <x v="2"/>
    <x v="1"/>
  </r>
  <r>
    <s v="EMP043"/>
    <s v="Gregory Massey"/>
    <n v="48"/>
    <x v="1"/>
    <x v="3"/>
    <x v="3"/>
    <s v="MBA"/>
    <x v="1"/>
    <x v="1"/>
    <x v="42"/>
    <s v="Medium"/>
    <n v="2"/>
    <x v="1"/>
    <x v="1"/>
    <x v="1"/>
    <x v="1"/>
  </r>
  <r>
    <s v="EMP044"/>
    <s v="Ryan Stokes"/>
    <n v="33"/>
    <x v="1"/>
    <x v="4"/>
    <x v="10"/>
    <s v="MBA"/>
    <x v="1"/>
    <x v="0"/>
    <x v="43"/>
    <s v="Low"/>
    <n v="1"/>
    <x v="0"/>
    <x v="0"/>
    <x v="0"/>
    <x v="0"/>
  </r>
  <r>
    <s v="EMP045"/>
    <s v="Elizabeth Stanley"/>
    <n v="22"/>
    <x v="1"/>
    <x v="2"/>
    <x v="7"/>
    <s v="Bachelor's"/>
    <x v="0"/>
    <x v="2"/>
    <x v="44"/>
    <s v="Medium"/>
    <n v="2"/>
    <x v="1"/>
    <x v="1"/>
    <x v="3"/>
    <x v="1"/>
  </r>
  <r>
    <s v="EMP046"/>
    <s v="David Morton"/>
    <n v="50"/>
    <x v="1"/>
    <x v="2"/>
    <x v="7"/>
    <s v="Bachelor's"/>
    <x v="4"/>
    <x v="1"/>
    <x v="45"/>
    <s v="Low"/>
    <n v="1"/>
    <x v="0"/>
    <x v="0"/>
    <x v="1"/>
    <x v="0"/>
  </r>
  <r>
    <s v="EMP047"/>
    <s v="Jorge Turner"/>
    <n v="47"/>
    <x v="0"/>
    <x v="0"/>
    <x v="5"/>
    <s v="MBA"/>
    <x v="2"/>
    <x v="0"/>
    <x v="46"/>
    <s v="Medium"/>
    <n v="2"/>
    <x v="1"/>
    <x v="1"/>
    <x v="1"/>
    <x v="0"/>
  </r>
  <r>
    <s v="EMP048"/>
    <s v="Lori Byrd"/>
    <n v="24"/>
    <x v="1"/>
    <x v="2"/>
    <x v="2"/>
    <s v="MBA"/>
    <x v="0"/>
    <x v="0"/>
    <x v="47"/>
    <s v="Low"/>
    <n v="1"/>
    <x v="0"/>
    <x v="0"/>
    <x v="3"/>
    <x v="0"/>
  </r>
  <r>
    <s v="EMP049"/>
    <s v="Tina Ashley"/>
    <n v="51"/>
    <x v="1"/>
    <x v="4"/>
    <x v="6"/>
    <s v="MBA"/>
    <x v="4"/>
    <x v="0"/>
    <x v="48"/>
    <s v="High"/>
    <n v="3"/>
    <x v="1"/>
    <x v="1"/>
    <x v="1"/>
    <x v="0"/>
  </r>
  <r>
    <s v="EMP050"/>
    <s v="Raymond Reid"/>
    <n v="37"/>
    <x v="1"/>
    <x v="4"/>
    <x v="10"/>
    <s v="MBA"/>
    <x v="4"/>
    <x v="2"/>
    <x v="49"/>
    <s v="Medium"/>
    <n v="2"/>
    <x v="1"/>
    <x v="1"/>
    <x v="2"/>
    <x v="1"/>
  </r>
  <r>
    <s v="EMP051"/>
    <s v="Cassandra Adams MD"/>
    <n v="55"/>
    <x v="0"/>
    <x v="1"/>
    <x v="9"/>
    <s v="Bachelor's"/>
    <x v="2"/>
    <x v="1"/>
    <x v="50"/>
    <s v="Low"/>
    <n v="1"/>
    <x v="0"/>
    <x v="0"/>
    <x v="1"/>
    <x v="1"/>
  </r>
  <r>
    <s v="EMP052"/>
    <s v="Jennifer Macdonald"/>
    <n v="52"/>
    <x v="1"/>
    <x v="2"/>
    <x v="2"/>
    <s v="Bachelor's"/>
    <x v="4"/>
    <x v="2"/>
    <x v="51"/>
    <s v="Medium"/>
    <n v="2"/>
    <x v="0"/>
    <x v="0"/>
    <x v="1"/>
    <x v="0"/>
  </r>
  <r>
    <s v="EMP053"/>
    <s v="Joseph Carlson"/>
    <n v="58"/>
    <x v="1"/>
    <x v="5"/>
    <x v="11"/>
    <s v="Bachelor's"/>
    <x v="2"/>
    <x v="0"/>
    <x v="52"/>
    <s v="Low"/>
    <n v="1"/>
    <x v="1"/>
    <x v="1"/>
    <x v="1"/>
    <x v="1"/>
  </r>
  <r>
    <s v="EMP054"/>
    <s v="Mark Green"/>
    <n v="27"/>
    <x v="0"/>
    <x v="4"/>
    <x v="6"/>
    <s v="Bachelor's"/>
    <x v="1"/>
    <x v="0"/>
    <x v="53"/>
    <s v="High"/>
    <n v="3"/>
    <x v="1"/>
    <x v="1"/>
    <x v="0"/>
    <x v="1"/>
  </r>
  <r>
    <s v="EMP055"/>
    <s v="Natasha Trevino"/>
    <n v="46"/>
    <x v="0"/>
    <x v="3"/>
    <x v="3"/>
    <s v="Bachelor's"/>
    <x v="2"/>
    <x v="2"/>
    <x v="54"/>
    <s v="High"/>
    <n v="3"/>
    <x v="0"/>
    <x v="0"/>
    <x v="1"/>
    <x v="0"/>
  </r>
  <r>
    <s v="EMP056"/>
    <s v="Meghan Richards"/>
    <n v="50"/>
    <x v="0"/>
    <x v="3"/>
    <x v="3"/>
    <s v="Bachelor's"/>
    <x v="3"/>
    <x v="0"/>
    <x v="55"/>
    <s v="Medium"/>
    <n v="2"/>
    <x v="0"/>
    <x v="0"/>
    <x v="1"/>
    <x v="0"/>
  </r>
  <r>
    <s v="EMP057"/>
    <s v="William Glenn"/>
    <n v="42"/>
    <x v="0"/>
    <x v="2"/>
    <x v="7"/>
    <s v="Master's"/>
    <x v="0"/>
    <x v="1"/>
    <x v="56"/>
    <s v="Low"/>
    <n v="1"/>
    <x v="1"/>
    <x v="1"/>
    <x v="2"/>
    <x v="0"/>
  </r>
  <r>
    <s v="EMP058"/>
    <s v="Robert Ross"/>
    <n v="46"/>
    <x v="0"/>
    <x v="4"/>
    <x v="10"/>
    <s v="Master's"/>
    <x v="0"/>
    <x v="2"/>
    <x v="57"/>
    <s v="Low"/>
    <n v="1"/>
    <x v="0"/>
    <x v="0"/>
    <x v="1"/>
    <x v="1"/>
  </r>
  <r>
    <s v="EMP059"/>
    <s v="Julia Gomez"/>
    <n v="41"/>
    <x v="0"/>
    <x v="4"/>
    <x v="6"/>
    <s v="MBA"/>
    <x v="2"/>
    <x v="1"/>
    <x v="58"/>
    <s v="Low"/>
    <n v="1"/>
    <x v="1"/>
    <x v="1"/>
    <x v="2"/>
    <x v="0"/>
  </r>
  <r>
    <s v="EMP060"/>
    <s v="Heather Aguilar"/>
    <n v="30"/>
    <x v="1"/>
    <x v="3"/>
    <x v="3"/>
    <s v="Bachelor's"/>
    <x v="3"/>
    <x v="2"/>
    <x v="59"/>
    <s v="High"/>
    <n v="3"/>
    <x v="0"/>
    <x v="0"/>
    <x v="0"/>
    <x v="1"/>
  </r>
  <r>
    <s v="EMP061"/>
    <s v="Richard Jacobs"/>
    <n v="43"/>
    <x v="1"/>
    <x v="4"/>
    <x v="6"/>
    <s v="MBA"/>
    <x v="4"/>
    <x v="0"/>
    <x v="60"/>
    <s v="Medium"/>
    <n v="2"/>
    <x v="1"/>
    <x v="1"/>
    <x v="2"/>
    <x v="1"/>
  </r>
  <r>
    <s v="EMP062"/>
    <s v="Catherine Benjamin"/>
    <n v="42"/>
    <x v="1"/>
    <x v="3"/>
    <x v="3"/>
    <s v="MBA"/>
    <x v="4"/>
    <x v="1"/>
    <x v="61"/>
    <s v="Medium"/>
    <n v="2"/>
    <x v="1"/>
    <x v="1"/>
    <x v="2"/>
    <x v="0"/>
  </r>
  <r>
    <s v="EMP063"/>
    <s v="David Anthony"/>
    <n v="22"/>
    <x v="1"/>
    <x v="2"/>
    <x v="7"/>
    <s v="MBA"/>
    <x v="1"/>
    <x v="0"/>
    <x v="62"/>
    <s v="High"/>
    <n v="3"/>
    <x v="0"/>
    <x v="0"/>
    <x v="3"/>
    <x v="2"/>
  </r>
  <r>
    <s v="EMP064"/>
    <s v="Christina Hart"/>
    <n v="55"/>
    <x v="1"/>
    <x v="3"/>
    <x v="8"/>
    <s v="Bachelor's"/>
    <x v="2"/>
    <x v="2"/>
    <x v="63"/>
    <s v="Medium"/>
    <n v="2"/>
    <x v="1"/>
    <x v="1"/>
    <x v="1"/>
    <x v="0"/>
  </r>
  <r>
    <s v="EMP065"/>
    <s v="Ashley Carey"/>
    <n v="27"/>
    <x v="1"/>
    <x v="4"/>
    <x v="10"/>
    <s v="Bachelor's"/>
    <x v="3"/>
    <x v="2"/>
    <x v="64"/>
    <s v="High"/>
    <n v="3"/>
    <x v="0"/>
    <x v="0"/>
    <x v="0"/>
    <x v="1"/>
  </r>
  <r>
    <s v="EMP066"/>
    <s v="Phillip Davis"/>
    <n v="49"/>
    <x v="1"/>
    <x v="0"/>
    <x v="5"/>
    <s v="MBA"/>
    <x v="0"/>
    <x v="0"/>
    <x v="65"/>
    <s v="Medium"/>
    <n v="2"/>
    <x v="0"/>
    <x v="0"/>
    <x v="1"/>
    <x v="1"/>
  </r>
  <r>
    <s v="EMP067"/>
    <s v="James Calhoun"/>
    <n v="33"/>
    <x v="1"/>
    <x v="4"/>
    <x v="10"/>
    <s v="MBA"/>
    <x v="4"/>
    <x v="0"/>
    <x v="66"/>
    <s v="High"/>
    <n v="3"/>
    <x v="1"/>
    <x v="1"/>
    <x v="0"/>
    <x v="0"/>
  </r>
  <r>
    <s v="EMP068"/>
    <s v="Jessica Stuart"/>
    <n v="55"/>
    <x v="1"/>
    <x v="4"/>
    <x v="6"/>
    <s v="Master's"/>
    <x v="1"/>
    <x v="1"/>
    <x v="67"/>
    <s v="High"/>
    <n v="3"/>
    <x v="1"/>
    <x v="1"/>
    <x v="1"/>
    <x v="0"/>
  </r>
  <r>
    <s v="EMP069"/>
    <s v="Danielle Carr"/>
    <n v="47"/>
    <x v="1"/>
    <x v="4"/>
    <x v="6"/>
    <s v="Master's"/>
    <x v="2"/>
    <x v="0"/>
    <x v="68"/>
    <s v="High"/>
    <n v="3"/>
    <x v="1"/>
    <x v="1"/>
    <x v="1"/>
    <x v="0"/>
  </r>
  <r>
    <s v="EMP070"/>
    <s v="Christine Hester MD"/>
    <n v="56"/>
    <x v="0"/>
    <x v="3"/>
    <x v="8"/>
    <s v="Master's"/>
    <x v="4"/>
    <x v="1"/>
    <x v="69"/>
    <s v="High"/>
    <n v="3"/>
    <x v="0"/>
    <x v="0"/>
    <x v="1"/>
    <x v="1"/>
  </r>
  <r>
    <s v="EMP071"/>
    <s v="Trevor Rojas"/>
    <n v="54"/>
    <x v="1"/>
    <x v="5"/>
    <x v="11"/>
    <s v="Bachelor's"/>
    <x v="0"/>
    <x v="2"/>
    <x v="70"/>
    <s v="High"/>
    <n v="3"/>
    <x v="0"/>
    <x v="0"/>
    <x v="1"/>
    <x v="2"/>
  </r>
  <r>
    <s v="EMP072"/>
    <s v="Scott Blackwell"/>
    <n v="56"/>
    <x v="0"/>
    <x v="4"/>
    <x v="10"/>
    <s v="Master's"/>
    <x v="3"/>
    <x v="2"/>
    <x v="71"/>
    <s v="Medium"/>
    <n v="2"/>
    <x v="0"/>
    <x v="0"/>
    <x v="1"/>
    <x v="0"/>
  </r>
  <r>
    <s v="EMP073"/>
    <s v="Carla Cross"/>
    <n v="44"/>
    <x v="1"/>
    <x v="1"/>
    <x v="4"/>
    <s v="MBA"/>
    <x v="3"/>
    <x v="2"/>
    <x v="72"/>
    <s v="Low"/>
    <n v="1"/>
    <x v="1"/>
    <x v="1"/>
    <x v="1"/>
    <x v="0"/>
  </r>
  <r>
    <s v="EMP074"/>
    <s v="Michele Castaneda"/>
    <n v="54"/>
    <x v="0"/>
    <x v="2"/>
    <x v="7"/>
    <s v="Bachelor's"/>
    <x v="3"/>
    <x v="2"/>
    <x v="73"/>
    <s v="High"/>
    <n v="3"/>
    <x v="0"/>
    <x v="0"/>
    <x v="1"/>
    <x v="0"/>
  </r>
  <r>
    <s v="EMP075"/>
    <s v="Adam Baker"/>
    <n v="42"/>
    <x v="1"/>
    <x v="3"/>
    <x v="3"/>
    <s v="Master's"/>
    <x v="0"/>
    <x v="0"/>
    <x v="74"/>
    <s v="Low"/>
    <n v="1"/>
    <x v="0"/>
    <x v="0"/>
    <x v="2"/>
    <x v="0"/>
  </r>
  <r>
    <s v="EMP076"/>
    <s v="John Glover"/>
    <n v="42"/>
    <x v="0"/>
    <x v="0"/>
    <x v="5"/>
    <s v="Bachelor's"/>
    <x v="4"/>
    <x v="0"/>
    <x v="75"/>
    <s v="Medium"/>
    <n v="2"/>
    <x v="0"/>
    <x v="0"/>
    <x v="2"/>
    <x v="1"/>
  </r>
  <r>
    <s v="EMP077"/>
    <s v="Isabella Ali"/>
    <n v="54"/>
    <x v="1"/>
    <x v="2"/>
    <x v="7"/>
    <s v="Bachelor's"/>
    <x v="0"/>
    <x v="1"/>
    <x v="76"/>
    <s v="Medium"/>
    <n v="2"/>
    <x v="1"/>
    <x v="1"/>
    <x v="1"/>
    <x v="0"/>
  </r>
  <r>
    <s v="EMP078"/>
    <s v="Laura Mcdonald"/>
    <n v="23"/>
    <x v="1"/>
    <x v="3"/>
    <x v="3"/>
    <s v="Master's"/>
    <x v="2"/>
    <x v="1"/>
    <x v="77"/>
    <s v="Medium"/>
    <n v="2"/>
    <x v="1"/>
    <x v="1"/>
    <x v="3"/>
    <x v="2"/>
  </r>
  <r>
    <s v="EMP079"/>
    <s v="Nicole Parsons"/>
    <n v="51"/>
    <x v="1"/>
    <x v="0"/>
    <x v="5"/>
    <s v="MBA"/>
    <x v="0"/>
    <x v="0"/>
    <x v="78"/>
    <s v="Medium"/>
    <n v="2"/>
    <x v="1"/>
    <x v="1"/>
    <x v="1"/>
    <x v="0"/>
  </r>
  <r>
    <s v="EMP080"/>
    <s v="Gabriel Carpenter"/>
    <n v="23"/>
    <x v="1"/>
    <x v="2"/>
    <x v="2"/>
    <s v="Bachelor's"/>
    <x v="2"/>
    <x v="2"/>
    <x v="79"/>
    <s v="High"/>
    <n v="3"/>
    <x v="0"/>
    <x v="0"/>
    <x v="3"/>
    <x v="1"/>
  </r>
  <r>
    <s v="EMP081"/>
    <s v="Daniel Campos"/>
    <n v="54"/>
    <x v="0"/>
    <x v="3"/>
    <x v="3"/>
    <s v="Master's"/>
    <x v="4"/>
    <x v="2"/>
    <x v="80"/>
    <s v="Low"/>
    <n v="1"/>
    <x v="1"/>
    <x v="1"/>
    <x v="1"/>
    <x v="2"/>
  </r>
  <r>
    <s v="EMP082"/>
    <s v="Steven Brown"/>
    <n v="22"/>
    <x v="1"/>
    <x v="3"/>
    <x v="8"/>
    <s v="Bachelor's"/>
    <x v="3"/>
    <x v="0"/>
    <x v="81"/>
    <s v="High"/>
    <n v="3"/>
    <x v="0"/>
    <x v="0"/>
    <x v="3"/>
    <x v="1"/>
  </r>
  <r>
    <s v="EMP083"/>
    <s v="Zachary Smith"/>
    <n v="55"/>
    <x v="1"/>
    <x v="3"/>
    <x v="3"/>
    <s v="Bachelor's"/>
    <x v="1"/>
    <x v="0"/>
    <x v="82"/>
    <s v="Low"/>
    <n v="1"/>
    <x v="1"/>
    <x v="1"/>
    <x v="1"/>
    <x v="1"/>
  </r>
  <r>
    <s v="EMP084"/>
    <s v="David Anderson"/>
    <n v="35"/>
    <x v="1"/>
    <x v="0"/>
    <x v="5"/>
    <s v="Bachelor's"/>
    <x v="2"/>
    <x v="1"/>
    <x v="83"/>
    <s v="Low"/>
    <n v="1"/>
    <x v="1"/>
    <x v="1"/>
    <x v="2"/>
    <x v="1"/>
  </r>
  <r>
    <s v="EMP085"/>
    <s v="Jennifer Mcclure"/>
    <n v="48"/>
    <x v="1"/>
    <x v="0"/>
    <x v="0"/>
    <s v="MBA"/>
    <x v="4"/>
    <x v="0"/>
    <x v="84"/>
    <s v="High"/>
    <n v="3"/>
    <x v="0"/>
    <x v="0"/>
    <x v="1"/>
    <x v="1"/>
  </r>
  <r>
    <s v="EMP086"/>
    <s v="Alyssa Watts"/>
    <n v="27"/>
    <x v="0"/>
    <x v="4"/>
    <x v="6"/>
    <s v="Master's"/>
    <x v="1"/>
    <x v="2"/>
    <x v="85"/>
    <s v="Low"/>
    <n v="1"/>
    <x v="1"/>
    <x v="1"/>
    <x v="0"/>
    <x v="0"/>
  </r>
  <r>
    <s v="EMP087"/>
    <s v="Chad York"/>
    <n v="47"/>
    <x v="0"/>
    <x v="4"/>
    <x v="10"/>
    <s v="MBA"/>
    <x v="4"/>
    <x v="0"/>
    <x v="86"/>
    <s v="Low"/>
    <n v="1"/>
    <x v="1"/>
    <x v="1"/>
    <x v="1"/>
    <x v="0"/>
  </r>
  <r>
    <s v="EMP088"/>
    <s v="Nicole Patton"/>
    <n v="51"/>
    <x v="1"/>
    <x v="3"/>
    <x v="3"/>
    <s v="Bachelor's"/>
    <x v="3"/>
    <x v="2"/>
    <x v="87"/>
    <s v="Low"/>
    <n v="1"/>
    <x v="1"/>
    <x v="1"/>
    <x v="1"/>
    <x v="1"/>
  </r>
  <r>
    <s v="EMP089"/>
    <s v="Nathaniel Johnson"/>
    <n v="38"/>
    <x v="0"/>
    <x v="1"/>
    <x v="1"/>
    <s v="Master's"/>
    <x v="2"/>
    <x v="2"/>
    <x v="88"/>
    <s v="Medium"/>
    <n v="2"/>
    <x v="1"/>
    <x v="1"/>
    <x v="2"/>
    <x v="1"/>
  </r>
  <r>
    <s v="EMP090"/>
    <s v="Steven Miller"/>
    <n v="27"/>
    <x v="0"/>
    <x v="5"/>
    <x v="11"/>
    <s v="MBA"/>
    <x v="0"/>
    <x v="1"/>
    <x v="89"/>
    <s v="Low"/>
    <n v="1"/>
    <x v="1"/>
    <x v="1"/>
    <x v="0"/>
    <x v="2"/>
  </r>
  <r>
    <s v="EMP091"/>
    <s v="Adam Graham"/>
    <n v="24"/>
    <x v="0"/>
    <x v="2"/>
    <x v="2"/>
    <s v="Bachelor's"/>
    <x v="4"/>
    <x v="2"/>
    <x v="90"/>
    <s v="Medium"/>
    <n v="2"/>
    <x v="1"/>
    <x v="1"/>
    <x v="3"/>
    <x v="1"/>
  </r>
  <r>
    <s v="EMP092"/>
    <s v="William Sanchez"/>
    <n v="22"/>
    <x v="1"/>
    <x v="0"/>
    <x v="0"/>
    <s v="MBA"/>
    <x v="2"/>
    <x v="0"/>
    <x v="91"/>
    <s v="Low"/>
    <n v="1"/>
    <x v="0"/>
    <x v="0"/>
    <x v="3"/>
    <x v="0"/>
  </r>
  <r>
    <s v="EMP093"/>
    <s v="Cynthia Pruitt"/>
    <n v="41"/>
    <x v="0"/>
    <x v="4"/>
    <x v="10"/>
    <s v="Master's"/>
    <x v="1"/>
    <x v="0"/>
    <x v="92"/>
    <s v="High"/>
    <n v="3"/>
    <x v="0"/>
    <x v="0"/>
    <x v="2"/>
    <x v="0"/>
  </r>
  <r>
    <s v="EMP094"/>
    <s v="Stephanie Henderson PhD"/>
    <n v="47"/>
    <x v="1"/>
    <x v="4"/>
    <x v="6"/>
    <s v="MBA"/>
    <x v="2"/>
    <x v="1"/>
    <x v="93"/>
    <s v="High"/>
    <n v="3"/>
    <x v="0"/>
    <x v="0"/>
    <x v="1"/>
    <x v="1"/>
  </r>
  <r>
    <s v="EMP095"/>
    <s v="Daniel Burnett"/>
    <n v="27"/>
    <x v="1"/>
    <x v="5"/>
    <x v="11"/>
    <s v="Master's"/>
    <x v="2"/>
    <x v="1"/>
    <x v="94"/>
    <s v="Medium"/>
    <n v="2"/>
    <x v="0"/>
    <x v="0"/>
    <x v="0"/>
    <x v="1"/>
  </r>
  <r>
    <s v="EMP096"/>
    <s v="Nancy Mcclain"/>
    <n v="51"/>
    <x v="0"/>
    <x v="2"/>
    <x v="7"/>
    <s v="MBA"/>
    <x v="0"/>
    <x v="2"/>
    <x v="95"/>
    <s v="Medium"/>
    <n v="2"/>
    <x v="1"/>
    <x v="1"/>
    <x v="1"/>
    <x v="0"/>
  </r>
  <r>
    <s v="EMP097"/>
    <s v="Brendan Drake"/>
    <n v="37"/>
    <x v="0"/>
    <x v="5"/>
    <x v="12"/>
    <s v="Master's"/>
    <x v="0"/>
    <x v="0"/>
    <x v="96"/>
    <s v="High"/>
    <n v="3"/>
    <x v="1"/>
    <x v="1"/>
    <x v="2"/>
    <x v="0"/>
  </r>
  <r>
    <s v="EMP098"/>
    <s v="Clifford Graham"/>
    <n v="41"/>
    <x v="0"/>
    <x v="2"/>
    <x v="2"/>
    <s v="Master's"/>
    <x v="4"/>
    <x v="2"/>
    <x v="97"/>
    <s v="High"/>
    <n v="3"/>
    <x v="1"/>
    <x v="1"/>
    <x v="2"/>
    <x v="2"/>
  </r>
  <r>
    <s v="EMP099"/>
    <s v="Stacey Brown"/>
    <n v="29"/>
    <x v="0"/>
    <x v="5"/>
    <x v="12"/>
    <s v="MBA"/>
    <x v="2"/>
    <x v="0"/>
    <x v="98"/>
    <s v="High"/>
    <n v="3"/>
    <x v="1"/>
    <x v="1"/>
    <x v="0"/>
    <x v="1"/>
  </r>
  <r>
    <s v="EMP100"/>
    <s v="Megan Ford"/>
    <n v="41"/>
    <x v="1"/>
    <x v="5"/>
    <x v="12"/>
    <s v="Master's"/>
    <x v="3"/>
    <x v="0"/>
    <x v="99"/>
    <s v="Medium"/>
    <n v="2"/>
    <x v="0"/>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AD83F-C27B-442E-8EA7-DFB295EAC178}"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0" firstHeaderRow="1" firstDataRow="1" firstDataCol="1"/>
  <pivotFields count="16">
    <pivotField showAll="0"/>
    <pivotField showAll="0"/>
    <pivotField numFmtId="1" showAll="0"/>
    <pivotField showAll="0">
      <items count="3">
        <item x="0"/>
        <item x="1"/>
        <item t="default"/>
      </items>
    </pivotField>
    <pivotField axis="axisRow" showAll="0">
      <items count="7">
        <item x="5"/>
        <item x="1"/>
        <item x="2"/>
        <item x="0"/>
        <item x="3"/>
        <item x="4"/>
        <item t="default"/>
      </items>
    </pivotField>
    <pivotField showAll="0">
      <items count="14">
        <item x="11"/>
        <item x="2"/>
        <item x="12"/>
        <item x="4"/>
        <item x="9"/>
        <item x="0"/>
        <item x="3"/>
        <item x="8"/>
        <item x="1"/>
        <item x="6"/>
        <item x="10"/>
        <item x="5"/>
        <item x="7"/>
        <item t="default"/>
      </items>
    </pivotField>
    <pivotField showAll="0"/>
    <pivotField showAll="0"/>
    <pivotField showAll="0">
      <items count="4">
        <item x="1"/>
        <item x="2"/>
        <item x="0"/>
        <item t="default"/>
      </items>
    </pivotField>
    <pivotField numFmtId="164" showAll="0"/>
    <pivotField showAll="0"/>
    <pivotField showAll="0"/>
    <pivotField showAll="0"/>
    <pivotField dataField="1" showAll="0" countASubtotal="1">
      <items count="3">
        <item x="0"/>
        <item x="1"/>
        <item t="countA"/>
      </items>
    </pivotField>
    <pivotField showAll="0">
      <items count="5">
        <item x="3"/>
        <item x="0"/>
        <item x="2"/>
        <item x="1"/>
        <item t="default"/>
      </items>
    </pivotField>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Sum of Attrition Flag" fld="13" baseField="0" baseItem="0"/>
  </dataFields>
  <chartFormats count="7">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6" format="7">
      <pivotArea type="data" outline="0" fieldPosition="0">
        <references count="2">
          <reference field="4294967294" count="1" selected="0">
            <x v="0"/>
          </reference>
          <reference field="4" count="1" selected="0">
            <x v="2"/>
          </reference>
        </references>
      </pivotArea>
    </chartFormat>
    <chartFormat chart="6" format="8">
      <pivotArea type="data" outline="0" fieldPosition="0">
        <references count="2">
          <reference field="4294967294" count="1" selected="0">
            <x v="0"/>
          </reference>
          <reference field="4" count="1" selected="0">
            <x v="3"/>
          </reference>
        </references>
      </pivotArea>
    </chartFormat>
    <chartFormat chart="6" format="9">
      <pivotArea type="data" outline="0" fieldPosition="0">
        <references count="2">
          <reference field="4294967294" count="1" selected="0">
            <x v="0"/>
          </reference>
          <reference field="4" count="1" selected="0">
            <x v="4"/>
          </reference>
        </references>
      </pivotArea>
    </chartFormat>
    <chartFormat chart="6" format="1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3CB42E-9D06-4B30-B620-5BD9676D1352}"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K3:L7" firstHeaderRow="1" firstDataRow="1" firstDataCol="1"/>
  <pivotFields count="16">
    <pivotField showAll="0"/>
    <pivotField showAll="0"/>
    <pivotField numFmtId="1" showAll="0"/>
    <pivotField showAll="0">
      <items count="3">
        <item x="0"/>
        <item x="1"/>
        <item t="default"/>
      </items>
    </pivotField>
    <pivotField showAll="0">
      <items count="7">
        <item x="5"/>
        <item x="1"/>
        <item x="2"/>
        <item x="0"/>
        <item x="3"/>
        <item x="4"/>
        <item t="default"/>
      </items>
    </pivotField>
    <pivotField showAll="0">
      <items count="14">
        <item x="11"/>
        <item x="2"/>
        <item x="12"/>
        <item x="4"/>
        <item x="9"/>
        <item x="0"/>
        <item x="3"/>
        <item x="8"/>
        <item x="1"/>
        <item x="6"/>
        <item x="10"/>
        <item x="5"/>
        <item x="7"/>
        <item t="default"/>
      </items>
    </pivotField>
    <pivotField showAll="0"/>
    <pivotField showAll="0"/>
    <pivotField axis="axisRow" showAll="0">
      <items count="4">
        <item x="1"/>
        <item x="2"/>
        <item x="0"/>
        <item t="default"/>
      </items>
    </pivotField>
    <pivotField numFmtId="164" showAll="0"/>
    <pivotField showAll="0"/>
    <pivotField showAll="0"/>
    <pivotField showAll="0"/>
    <pivotField dataField="1" showAll="0" countASubtotal="1">
      <items count="3">
        <item x="0"/>
        <item x="1"/>
        <item t="countA"/>
      </items>
    </pivotField>
    <pivotField showAll="0">
      <items count="5">
        <item x="3"/>
        <item x="0"/>
        <item x="2"/>
        <item x="1"/>
        <item t="default"/>
      </items>
    </pivotField>
    <pivotField showAll="0">
      <items count="4">
        <item x="0"/>
        <item x="2"/>
        <item x="1"/>
        <item t="default"/>
      </items>
    </pivotField>
  </pivotFields>
  <rowFields count="1">
    <field x="8"/>
  </rowFields>
  <rowItems count="4">
    <i>
      <x/>
    </i>
    <i>
      <x v="1"/>
    </i>
    <i>
      <x v="2"/>
    </i>
    <i t="grand">
      <x/>
    </i>
  </rowItems>
  <colItems count="1">
    <i/>
  </colItems>
  <dataFields count="1">
    <dataField name="Count of Attrition Flag" fld="13" subtotal="count" baseField="8" baseItem="2"/>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8" count="1" selected="0">
            <x v="2"/>
          </reference>
        </references>
      </pivotArea>
    </chartFormat>
    <chartFormat chart="15" format="6">
      <pivotArea type="data" outline="0" fieldPosition="0">
        <references count="2">
          <reference field="4294967294" count="1" selected="0">
            <x v="0"/>
          </reference>
          <reference field="8" count="1" selected="0">
            <x v="0"/>
          </reference>
        </references>
      </pivotArea>
    </chartFormat>
    <chartFormat chart="15" format="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CA7DF-F111-46B4-B294-E174C49E0237}"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0:B24" firstHeaderRow="1" firstDataRow="1" firstDataCol="1"/>
  <pivotFields count="16">
    <pivotField showAll="0"/>
    <pivotField showAll="0"/>
    <pivotField numFmtId="1" showAll="0"/>
    <pivotField showAll="0">
      <items count="3">
        <item x="0"/>
        <item x="1"/>
        <item t="default"/>
      </items>
    </pivotField>
    <pivotField showAll="0">
      <items count="7">
        <item x="5"/>
        <item x="1"/>
        <item x="2"/>
        <item x="0"/>
        <item x="3"/>
        <item x="4"/>
        <item t="default"/>
      </items>
    </pivotField>
    <pivotField showAll="0">
      <items count="14">
        <item x="11"/>
        <item x="2"/>
        <item x="12"/>
        <item x="4"/>
        <item x="9"/>
        <item x="0"/>
        <item x="3"/>
        <item x="8"/>
        <item x="1"/>
        <item x="6"/>
        <item x="10"/>
        <item x="5"/>
        <item x="7"/>
        <item t="default"/>
      </items>
    </pivotField>
    <pivotField showAll="0"/>
    <pivotField showAll="0"/>
    <pivotField showAll="0">
      <items count="4">
        <item x="1"/>
        <item x="2"/>
        <item x="0"/>
        <item t="default"/>
      </items>
    </pivotField>
    <pivotField numFmtId="164" showAll="0"/>
    <pivotField showAll="0"/>
    <pivotField showAll="0"/>
    <pivotField showAll="0">
      <items count="3">
        <item x="0"/>
        <item x="1"/>
        <item t="default"/>
      </items>
    </pivotField>
    <pivotField dataField="1" showAll="0"/>
    <pivotField showAll="0">
      <items count="5">
        <item x="3"/>
        <item x="0"/>
        <item x="2"/>
        <item x="1"/>
        <item t="default"/>
      </items>
    </pivotField>
    <pivotField axis="axisRow" showAll="0">
      <items count="4">
        <item x="0"/>
        <item x="2"/>
        <item x="1"/>
        <item t="default"/>
      </items>
    </pivotField>
  </pivotFields>
  <rowFields count="1">
    <field x="15"/>
  </rowFields>
  <rowItems count="4">
    <i>
      <x/>
    </i>
    <i>
      <x v="1"/>
    </i>
    <i>
      <x v="2"/>
    </i>
    <i t="grand">
      <x/>
    </i>
  </rowItems>
  <colItems count="1">
    <i/>
  </colItems>
  <dataFields count="1">
    <dataField name="Sum of Attrition Flag2" fld="13" baseField="15" baseItem="0"/>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7EAAC-05A8-493C-AC23-FB4AA1F550FF}"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4:B17" firstHeaderRow="1" firstDataRow="1" firstDataCol="1"/>
  <pivotFields count="16">
    <pivotField showAll="0"/>
    <pivotField showAll="0"/>
    <pivotField numFmtId="1" showAll="0"/>
    <pivotField axis="axisRow" showAll="0">
      <items count="3">
        <item x="0"/>
        <item x="1"/>
        <item t="default"/>
      </items>
    </pivotField>
    <pivotField showAll="0">
      <items count="7">
        <item x="5"/>
        <item x="1"/>
        <item x="2"/>
        <item x="0"/>
        <item x="3"/>
        <item x="4"/>
        <item t="default"/>
      </items>
    </pivotField>
    <pivotField showAll="0">
      <items count="14">
        <item x="11"/>
        <item x="2"/>
        <item x="12"/>
        <item x="4"/>
        <item x="9"/>
        <item x="0"/>
        <item x="3"/>
        <item x="8"/>
        <item x="1"/>
        <item x="6"/>
        <item x="10"/>
        <item x="5"/>
        <item x="7"/>
        <item t="default"/>
      </items>
    </pivotField>
    <pivotField showAll="0"/>
    <pivotField showAll="0"/>
    <pivotField showAll="0">
      <items count="4">
        <item x="1"/>
        <item x="2"/>
        <item x="0"/>
        <item t="default"/>
      </items>
    </pivotField>
    <pivotField numFmtId="164" showAll="0"/>
    <pivotField showAll="0"/>
    <pivotField showAll="0"/>
    <pivotField showAll="0">
      <items count="3">
        <item x="0"/>
        <item x="1"/>
        <item t="default"/>
      </items>
    </pivotField>
    <pivotField dataField="1" showAll="0"/>
    <pivotField showAll="0">
      <items count="5">
        <item x="3"/>
        <item x="0"/>
        <item x="2"/>
        <item x="1"/>
        <item t="default"/>
      </items>
    </pivotField>
    <pivotField showAll="0">
      <items count="4">
        <item x="0"/>
        <item x="2"/>
        <item x="1"/>
        <item t="default"/>
      </items>
    </pivotField>
  </pivotFields>
  <rowFields count="1">
    <field x="3"/>
  </rowFields>
  <rowItems count="3">
    <i>
      <x/>
    </i>
    <i>
      <x v="1"/>
    </i>
    <i t="grand">
      <x/>
    </i>
  </rowItems>
  <colItems count="1">
    <i/>
  </colItems>
  <dataFields count="1">
    <dataField name="Sum of Attrition Flag" fld="13"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040A0C-6856-4271-9847-EA44E8384103}"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H11:I17" firstHeaderRow="1" firstDataRow="1" firstDataCol="1"/>
  <pivotFields count="16">
    <pivotField showAll="0"/>
    <pivotField showAll="0"/>
    <pivotField numFmtId="1" showAll="0"/>
    <pivotField showAll="0">
      <items count="3">
        <item x="0"/>
        <item x="1"/>
        <item t="default"/>
      </items>
    </pivotField>
    <pivotField showAll="0">
      <items count="7">
        <item x="5"/>
        <item x="1"/>
        <item x="2"/>
        <item x="0"/>
        <item x="3"/>
        <item x="4"/>
        <item t="default"/>
      </items>
    </pivotField>
    <pivotField showAll="0">
      <items count="14">
        <item x="11"/>
        <item x="2"/>
        <item x="12"/>
        <item x="4"/>
        <item x="9"/>
        <item x="0"/>
        <item x="3"/>
        <item x="8"/>
        <item x="1"/>
        <item x="6"/>
        <item x="10"/>
        <item x="5"/>
        <item x="7"/>
        <item t="default"/>
      </items>
    </pivotField>
    <pivotField showAll="0"/>
    <pivotField axis="axisRow" showAll="0">
      <items count="6">
        <item x="3"/>
        <item x="4"/>
        <item x="1"/>
        <item x="2"/>
        <item x="0"/>
        <item t="default"/>
      </items>
    </pivotField>
    <pivotField showAll="0">
      <items count="4">
        <item x="1"/>
        <item x="2"/>
        <item x="0"/>
        <item t="default"/>
      </items>
    </pivotField>
    <pivotField numFmtId="164" showAll="0"/>
    <pivotField showAll="0"/>
    <pivotField showAll="0"/>
    <pivotField showAll="0"/>
    <pivotField dataField="1" showAll="0" countASubtotal="1">
      <items count="3">
        <item x="0"/>
        <item x="1"/>
        <item t="countA"/>
      </items>
    </pivotField>
    <pivotField showAll="0">
      <items count="5">
        <item x="3"/>
        <item x="0"/>
        <item x="2"/>
        <item x="1"/>
        <item t="default"/>
      </items>
    </pivotField>
    <pivotField showAll="0">
      <items count="4">
        <item x="0"/>
        <item x="2"/>
        <item x="1"/>
        <item t="default"/>
      </items>
    </pivotField>
  </pivotFields>
  <rowFields count="1">
    <field x="7"/>
  </rowFields>
  <rowItems count="6">
    <i>
      <x/>
    </i>
    <i>
      <x v="1"/>
    </i>
    <i>
      <x v="2"/>
    </i>
    <i>
      <x v="3"/>
    </i>
    <i>
      <x v="4"/>
    </i>
    <i t="grand">
      <x/>
    </i>
  </rowItems>
  <colItems count="1">
    <i/>
  </colItems>
  <dataFields count="1">
    <dataField name="Sum of Attrition Flag" fld="13"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3"/>
          </reference>
        </references>
      </pivotArea>
    </chartFormat>
    <chartFormat chart="10" format="6">
      <pivotArea type="data" outline="0" fieldPosition="0">
        <references count="2">
          <reference field="4294967294" count="1" selected="0">
            <x v="0"/>
          </reference>
          <reference field="7" count="1" selected="0">
            <x v="4"/>
          </reference>
        </references>
      </pivotArea>
    </chartFormat>
    <chartFormat chart="10" format="7">
      <pivotArea type="data" outline="0" fieldPosition="0">
        <references count="2">
          <reference field="4294967294" count="1" selected="0">
            <x v="0"/>
          </reference>
          <reference field="7" count="1" selected="0">
            <x v="2"/>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C9978-7EE1-465D-B9C5-73C02FDF7A36}"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H3:I8" firstHeaderRow="1" firstDataRow="1" firstDataCol="1"/>
  <pivotFields count="16">
    <pivotField showAll="0"/>
    <pivotField showAll="0"/>
    <pivotField numFmtId="1" showAll="0"/>
    <pivotField showAll="0">
      <items count="3">
        <item x="0"/>
        <item x="1"/>
        <item t="default"/>
      </items>
    </pivotField>
    <pivotField showAll="0">
      <items count="7">
        <item x="5"/>
        <item x="1"/>
        <item x="2"/>
        <item x="0"/>
        <item x="3"/>
        <item x="4"/>
        <item t="default"/>
      </items>
    </pivotField>
    <pivotField showAll="0">
      <items count="14">
        <item x="11"/>
        <item x="2"/>
        <item x="12"/>
        <item x="4"/>
        <item x="9"/>
        <item x="0"/>
        <item x="3"/>
        <item x="8"/>
        <item x="1"/>
        <item x="6"/>
        <item x="10"/>
        <item x="5"/>
        <item x="7"/>
        <item t="default"/>
      </items>
    </pivotField>
    <pivotField showAll="0"/>
    <pivotField showAll="0"/>
    <pivotField showAll="0">
      <items count="4">
        <item x="1"/>
        <item x="2"/>
        <item x="0"/>
        <item t="default"/>
      </items>
    </pivotField>
    <pivotField numFmtId="164" showAll="0"/>
    <pivotField showAll="0"/>
    <pivotField showAll="0"/>
    <pivotField showAll="0"/>
    <pivotField dataField="1" showAll="0" countASubtotal="1">
      <items count="3">
        <item x="0"/>
        <item x="1"/>
        <item t="countA"/>
      </items>
    </pivotField>
    <pivotField axis="axisRow" showAll="0">
      <items count="5">
        <item x="3"/>
        <item x="0"/>
        <item x="2"/>
        <item x="1"/>
        <item t="default"/>
      </items>
    </pivotField>
    <pivotField showAll="0">
      <items count="4">
        <item x="0"/>
        <item x="2"/>
        <item x="1"/>
        <item t="default"/>
      </items>
    </pivotField>
  </pivotFields>
  <rowFields count="1">
    <field x="14"/>
  </rowFields>
  <rowItems count="5">
    <i>
      <x/>
    </i>
    <i>
      <x v="1"/>
    </i>
    <i>
      <x v="2"/>
    </i>
    <i>
      <x v="3"/>
    </i>
    <i t="grand">
      <x/>
    </i>
  </rowItems>
  <colItems count="1">
    <i/>
  </colItems>
  <dataFields count="1">
    <dataField name="Sum of Attrition Flag" fld="1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E01EA9-34A5-4AEB-A716-0825EFEA8A1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E3:F17" firstHeaderRow="1" firstDataRow="1" firstDataCol="1"/>
  <pivotFields count="16">
    <pivotField showAll="0"/>
    <pivotField showAll="0"/>
    <pivotField numFmtId="1" showAll="0"/>
    <pivotField showAll="0">
      <items count="3">
        <item x="0"/>
        <item x="1"/>
        <item t="default"/>
      </items>
    </pivotField>
    <pivotField showAll="0">
      <items count="7">
        <item x="5"/>
        <item x="1"/>
        <item x="2"/>
        <item x="0"/>
        <item x="3"/>
        <item x="4"/>
        <item t="default"/>
      </items>
    </pivotField>
    <pivotField axis="axisRow" showAll="0">
      <items count="14">
        <item x="11"/>
        <item x="2"/>
        <item x="12"/>
        <item x="4"/>
        <item x="9"/>
        <item x="0"/>
        <item x="3"/>
        <item x="8"/>
        <item x="1"/>
        <item x="6"/>
        <item x="10"/>
        <item x="5"/>
        <item x="7"/>
        <item t="default"/>
      </items>
    </pivotField>
    <pivotField showAll="0"/>
    <pivotField showAll="0"/>
    <pivotField showAll="0">
      <items count="4">
        <item x="1"/>
        <item x="2"/>
        <item x="0"/>
        <item t="default"/>
      </items>
    </pivotField>
    <pivotField numFmtId="164" showAll="0"/>
    <pivotField showAll="0"/>
    <pivotField showAll="0"/>
    <pivotField showAll="0"/>
    <pivotField dataField="1" showAll="0" countASubtotal="1">
      <items count="3">
        <item x="0"/>
        <item x="1"/>
        <item t="countA"/>
      </items>
    </pivotField>
    <pivotField showAll="0">
      <items count="5">
        <item x="3"/>
        <item x="0"/>
        <item x="2"/>
        <item x="1"/>
        <item t="default"/>
      </items>
    </pivotField>
    <pivotField showAll="0">
      <items count="4">
        <item x="0"/>
        <item x="2"/>
        <item x="1"/>
        <item t="default"/>
      </items>
    </pivotField>
  </pivotFields>
  <rowFields count="1">
    <field x="5"/>
  </rowFields>
  <rowItems count="14">
    <i>
      <x/>
    </i>
    <i>
      <x v="1"/>
    </i>
    <i>
      <x v="2"/>
    </i>
    <i>
      <x v="3"/>
    </i>
    <i>
      <x v="4"/>
    </i>
    <i>
      <x v="5"/>
    </i>
    <i>
      <x v="6"/>
    </i>
    <i>
      <x v="7"/>
    </i>
    <i>
      <x v="8"/>
    </i>
    <i>
      <x v="9"/>
    </i>
    <i>
      <x v="10"/>
    </i>
    <i>
      <x v="11"/>
    </i>
    <i>
      <x v="12"/>
    </i>
    <i t="grand">
      <x/>
    </i>
  </rowItems>
  <colItems count="1">
    <i/>
  </colItems>
  <dataFields count="1">
    <dataField name="Sum of Attrition Flag" fld="1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A2F88FC-7E83-4EE9-AF5D-E8C389BB3A01}" sourceName="Gender">
  <pivotTables>
    <pivotTable tabId="3" name="PivotTable1"/>
    <pivotTable tabId="3" name="PivotTable2"/>
    <pivotTable tabId="3" name="PivotTable4"/>
    <pivotTable tabId="3" name="PivotTable5"/>
    <pivotTable tabId="3" name="PivotTable6"/>
    <pivotTable tabId="3" name="PivotTable7"/>
    <pivotTable tabId="3" name="PivotTable8"/>
  </pivotTables>
  <data>
    <tabular pivotCacheId="9419635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FA763CE-8097-4950-9280-85BE8FB97BFA}" sourceName="Department">
  <pivotTables>
    <pivotTable tabId="3" name="PivotTable1"/>
    <pivotTable tabId="3" name="PivotTable2"/>
    <pivotTable tabId="3" name="PivotTable4"/>
    <pivotTable tabId="3" name="PivotTable5"/>
    <pivotTable tabId="3" name="PivotTable6"/>
    <pivotTable tabId="3" name="PivotTable7"/>
    <pivotTable tabId="3" name="PivotTable8"/>
  </pivotTables>
  <data>
    <tabular pivotCacheId="941963532">
      <items count="6">
        <i x="5" s="1"/>
        <i x="1"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977FC2A2-1872-47AC-A105-50D8E1DE208D}" sourceName="Job Role">
  <pivotTables>
    <pivotTable tabId="3" name="PivotTable1"/>
    <pivotTable tabId="3" name="PivotTable2"/>
    <pivotTable tabId="3" name="PivotTable4"/>
    <pivotTable tabId="3" name="PivotTable5"/>
    <pivotTable tabId="3" name="PivotTable6"/>
    <pivotTable tabId="3" name="PivotTable7"/>
    <pivotTable tabId="3" name="PivotTable8"/>
  </pivotTables>
  <data>
    <tabular pivotCacheId="941963532">
      <items count="13">
        <i x="11" s="1"/>
        <i x="2" s="1"/>
        <i x="12" s="1"/>
        <i x="4" s="1"/>
        <i x="9" s="1"/>
        <i x="0" s="1"/>
        <i x="3" s="1"/>
        <i x="8" s="1"/>
        <i x="1" s="1"/>
        <i x="6" s="1"/>
        <i x="10"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E7C59E-6C62-434A-9342-466BA7AEB27F}" sourceName="Marital Status">
  <pivotTables>
    <pivotTable tabId="3" name="PivotTable1"/>
    <pivotTable tabId="3" name="PivotTable2"/>
    <pivotTable tabId="3" name="PivotTable4"/>
    <pivotTable tabId="3" name="PivotTable5"/>
    <pivotTable tabId="3" name="PivotTable6"/>
    <pivotTable tabId="3" name="PivotTable7"/>
    <pivotTable tabId="3" name="PivotTable8"/>
  </pivotTables>
  <data>
    <tabular pivotCacheId="94196353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3A5D2E9-2C37-4291-A38A-E62C8023204A}" sourceName="Age Group">
  <pivotTables>
    <pivotTable tabId="3" name="PivotTable1"/>
    <pivotTable tabId="3" name="PivotTable2"/>
    <pivotTable tabId="3" name="PivotTable4"/>
    <pivotTable tabId="3" name="PivotTable5"/>
    <pivotTable tabId="3" name="PivotTable6"/>
    <pivotTable tabId="3" name="PivotTable7"/>
    <pivotTable tabId="3" name="PivotTable8"/>
  </pivotTables>
  <data>
    <tabular pivotCacheId="941963532">
      <items count="4">
        <i x="3" s="1"/>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7AC2A71F-4FB4-471C-A525-B8D8015C8288}" sourceName="Salary Band">
  <pivotTables>
    <pivotTable tabId="3" name="PivotTable1"/>
    <pivotTable tabId="3" name="PivotTable2"/>
    <pivotTable tabId="3" name="PivotTable4"/>
    <pivotTable tabId="3" name="PivotTable5"/>
    <pivotTable tabId="3" name="PivotTable6"/>
    <pivotTable tabId="3" name="PivotTable7"/>
    <pivotTable tabId="3" name="PivotTable8"/>
  </pivotTables>
  <data>
    <tabular pivotCacheId="94196353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EDFA364-BF98-42AA-855A-A0B5C8DF6D07}" cache="Slicer_Gender" caption="Gender" showCaption="0" rowHeight="241300"/>
  <slicer name="Department 1" xr10:uid="{B6CBBAC9-7982-4228-9EF4-C76A1853785C}" cache="Slicer_Department" caption="Department" showCaption="0" rowHeight="241300"/>
  <slicer name="Job Role 1" xr10:uid="{5BB9E142-2E2B-46D4-914F-690F03021FEB}" cache="Slicer_Job_Role" caption="Job Role" startItem="5" showCaption="0" rowHeight="241300"/>
  <slicer name="Marital Status 1" xr10:uid="{96860DBA-E897-40E6-9E10-A583AA521F9E}" cache="Slicer_Marital_Status" caption="Marital Status" showCaption="0" rowHeight="241300"/>
  <slicer name="Age Group 1" xr10:uid="{ABD699B3-0160-49C8-AFDB-FDA718855EE7}" cache="Slicer_Age_Group" caption="Age Group" showCaption="0" rowHeight="241300"/>
  <slicer name="Salary Band 1" xr10:uid="{86566D5B-8B9A-4FE7-A9EA-3ACE40384EA4}" cache="Slicer_Salary_Band" caption="Salary Band"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C5715-36D8-4950-BB5E-A5291BE96ED0}" name="HR_Attrition_Data" displayName="HR_Attrition_Data" ref="A1:P101" totalsRowShown="0" headerRowDxfId="8" headerRowBorderDxfId="7" tableBorderDxfId="6">
  <autoFilter ref="A1:P101" xr:uid="{772A4958-40D8-4B5E-A42E-C42741DAB56E}"/>
  <tableColumns count="16">
    <tableColumn id="1" xr3:uid="{653FF780-26E8-4840-B9B7-EF74A1814363}" name="Employee ID"/>
    <tableColumn id="2" xr3:uid="{884186E4-9814-48D3-9206-9C132BBBFFA3}" name="Name"/>
    <tableColumn id="3" xr3:uid="{6F07763B-EEC6-4D88-A44D-5FCB641E73B5}" name="Age" dataDxfId="5" dataCellStyle="Percent"/>
    <tableColumn id="4" xr3:uid="{42DE0581-FF47-41D7-A115-A279465625FD}" name="Gender"/>
    <tableColumn id="5" xr3:uid="{FD2FD5A1-DFAA-44F8-A564-A1FB58E0D060}" name="Department"/>
    <tableColumn id="6" xr3:uid="{D42B92CD-5E81-4F23-9E0C-A4296200A2E0}" name="Job Role"/>
    <tableColumn id="7" xr3:uid="{11C01F31-FF68-49AD-A5F1-2B1859315387}" name="Education"/>
    <tableColumn id="8" xr3:uid="{01D1828E-D796-41D7-B561-61A91F43EE02}" name="Education Field"/>
    <tableColumn id="9" xr3:uid="{1EA55DB6-9325-4865-88BC-779310F40AF0}" name="Marital Status"/>
    <tableColumn id="10" xr3:uid="{4F005A7C-EAAA-4D89-BC54-03A6397A396B}" name="Salary" dataDxfId="4" dataCellStyle="Currency"/>
    <tableColumn id="11" xr3:uid="{E9531010-408A-45EB-B8C6-0CE132C2D3C6}" name="Job Satisfaction"/>
    <tableColumn id="17" xr3:uid="{EB382E0A-F70C-418F-A053-93903983F9B2}" name="Job Satisfaction Flag" dataDxfId="3">
      <calculatedColumnFormula>IF(HR_Attrition_Data[[#This Row],[Job Satisfaction]]="Low",1,IF(HR_Attrition_Data[[#This Row],[Job Satisfaction]]="Medium",2,3))</calculatedColumnFormula>
    </tableColumn>
    <tableColumn id="12" xr3:uid="{F5C6F553-6FB3-4511-82AA-F95561706659}" name="Attrition"/>
    <tableColumn id="13" xr3:uid="{287531CC-B36A-4C7A-B66A-8CBEE0BE21B7}" name="Attrition Flag" dataDxfId="2">
      <calculatedColumnFormula>IF(HR_Attrition_Data[[#This Row],[Attrition]]="Yes",1,0)</calculatedColumnFormula>
    </tableColumn>
    <tableColumn id="14" xr3:uid="{53D634F3-B3AB-4B08-99A0-62A7A704DE7A}" name="Age Group" dataDxfId="1">
      <calculatedColumnFormula>IF(HR_Attrition_Data[[#This Row],[Age]]&lt;25,"&lt;25",IF(HR_Attrition_Data[[#This Row],[Age]]&lt;=34,"25-34",IF(HR_Attrition_Data[[#This Row],[Age]]&lt;44,"35-44","45+")))</calculatedColumnFormula>
    </tableColumn>
    <tableColumn id="16" xr3:uid="{E83ED905-A5F0-40D4-A9C1-82FA40D7B48A}" name="Salary Band" dataDxfId="0">
      <calculatedColumnFormula>IF(HR_Attrition_Data[[#This Row],[Salary]]&lt;=50000,"Low",IF(HR_Attrition_Data[[#This Row],[Salary]]&lt;=100000,"Medium","High"))</calculatedColumnFormula>
    </tableColumn>
  </tableColumns>
  <tableStyleInfo name="TableStyleMedium9" showFirstColumn="0" showLastColumn="0" showRowStripes="0" showColumnStripes="1"/>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opLeftCell="I1" workbookViewId="0">
      <selection activeCell="D16" sqref="D16"/>
    </sheetView>
  </sheetViews>
  <sheetFormatPr defaultRowHeight="14" x14ac:dyDescent="0.3"/>
  <cols>
    <col min="1" max="1" width="15.75" customWidth="1"/>
    <col min="2" max="2" width="22.75" customWidth="1"/>
    <col min="3" max="3" width="8.4140625" customWidth="1"/>
    <col min="4" max="4" width="11.5" customWidth="1"/>
    <col min="5" max="5" width="15.58203125" customWidth="1"/>
    <col min="6" max="6" width="18.5" customWidth="1"/>
    <col min="7" max="7" width="13.6640625" customWidth="1"/>
    <col min="8" max="8" width="18.1640625" customWidth="1"/>
    <col min="9" max="9" width="17.1640625" customWidth="1"/>
    <col min="10" max="10" width="12.33203125" customWidth="1"/>
    <col min="11" max="11" width="18.4140625" customWidth="1"/>
    <col min="12" max="12" width="22.25" customWidth="1"/>
    <col min="13" max="13" width="12.5" customWidth="1"/>
    <col min="14" max="14" width="16.25" customWidth="1"/>
    <col min="15" max="15" width="14.1640625" customWidth="1"/>
    <col min="16" max="16" width="15" customWidth="1"/>
  </cols>
  <sheetData>
    <row r="1" spans="1:16" x14ac:dyDescent="0.3">
      <c r="A1" s="4" t="s">
        <v>0</v>
      </c>
      <c r="B1" s="7" t="s">
        <v>1</v>
      </c>
      <c r="C1" s="8" t="s">
        <v>2</v>
      </c>
      <c r="D1" s="5" t="s">
        <v>3</v>
      </c>
      <c r="E1" s="5" t="s">
        <v>4</v>
      </c>
      <c r="F1" s="5" t="s">
        <v>5</v>
      </c>
      <c r="G1" s="5" t="s">
        <v>6</v>
      </c>
      <c r="H1" s="5" t="s">
        <v>7</v>
      </c>
      <c r="I1" s="5" t="s">
        <v>8</v>
      </c>
      <c r="J1" s="6" t="s">
        <v>9</v>
      </c>
      <c r="K1" s="5" t="s">
        <v>10</v>
      </c>
      <c r="L1" s="7" t="s">
        <v>250</v>
      </c>
      <c r="M1" s="7" t="s">
        <v>11</v>
      </c>
      <c r="N1" s="5" t="s">
        <v>245</v>
      </c>
      <c r="O1" s="7" t="s">
        <v>246</v>
      </c>
      <c r="P1" s="5" t="s">
        <v>247</v>
      </c>
    </row>
    <row r="2" spans="1:16" x14ac:dyDescent="0.3">
      <c r="A2" s="1" t="s">
        <v>12</v>
      </c>
      <c r="B2" s="1" t="s">
        <v>112</v>
      </c>
      <c r="C2" s="3">
        <v>31</v>
      </c>
      <c r="D2" s="1" t="s">
        <v>212</v>
      </c>
      <c r="E2" s="1" t="s">
        <v>214</v>
      </c>
      <c r="F2" s="1" t="s">
        <v>220</v>
      </c>
      <c r="G2" s="1" t="s">
        <v>233</v>
      </c>
      <c r="H2" s="1" t="s">
        <v>214</v>
      </c>
      <c r="I2" s="1" t="s">
        <v>237</v>
      </c>
      <c r="J2" s="2">
        <v>128891</v>
      </c>
      <c r="K2" s="1" t="s">
        <v>242</v>
      </c>
      <c r="L2" s="10">
        <f>IF(HR_Attrition_Data[[#This Row],[Job Satisfaction]]="Low",1,IF(HR_Attrition_Data[[#This Row],[Job Satisfaction]]="Medium",2,3))</f>
        <v>3</v>
      </c>
      <c r="M2" s="1" t="s">
        <v>243</v>
      </c>
      <c r="N2" s="1">
        <f>IF(HR_Attrition_Data[[#This Row],[Attrition]]="Yes",1,0)</f>
        <v>0</v>
      </c>
      <c r="O2" s="1" t="str">
        <f>IF(HR_Attrition_Data[[#This Row],[Age]]&lt;25,"&lt;25",IF(HR_Attrition_Data[[#This Row],[Age]]&lt;=34,"25-34",IF(HR_Attrition_Data[[#This Row],[Age]]&lt;44,"35-44","45+")))</f>
        <v>25-34</v>
      </c>
      <c r="P2" t="str">
        <f>IF(HR_Attrition_Data[[#This Row],[Salary]]&lt;=50000,"Low",IF(HR_Attrition_Data[[#This Row],[Salary]]&lt;=100000,"Medium","High"))</f>
        <v>High</v>
      </c>
    </row>
    <row r="3" spans="1:16" x14ac:dyDescent="0.3">
      <c r="A3" s="1" t="s">
        <v>13</v>
      </c>
      <c r="B3" s="1" t="s">
        <v>113</v>
      </c>
      <c r="C3" s="3">
        <v>55</v>
      </c>
      <c r="D3" s="1" t="s">
        <v>212</v>
      </c>
      <c r="E3" s="1" t="s">
        <v>215</v>
      </c>
      <c r="F3" s="1" t="s">
        <v>221</v>
      </c>
      <c r="G3" s="1" t="s">
        <v>234</v>
      </c>
      <c r="H3" s="1" t="s">
        <v>215</v>
      </c>
      <c r="I3" s="1" t="s">
        <v>238</v>
      </c>
      <c r="J3" s="2">
        <v>60035</v>
      </c>
      <c r="K3" s="1" t="s">
        <v>240</v>
      </c>
      <c r="L3" s="10">
        <f>IF(HR_Attrition_Data[[#This Row],[Job Satisfaction]]="Low",1,IF(HR_Attrition_Data[[#This Row],[Job Satisfaction]]="Medium",2,3))</f>
        <v>2</v>
      </c>
      <c r="M3" s="1" t="s">
        <v>244</v>
      </c>
      <c r="N3" s="1">
        <f>IF(HR_Attrition_Data[[#This Row],[Attrition]]="Yes",1,0)</f>
        <v>1</v>
      </c>
      <c r="O3" s="1" t="str">
        <f>IF(HR_Attrition_Data[[#This Row],[Age]]&lt;25,"&lt;25",IF(HR_Attrition_Data[[#This Row],[Age]]&lt;=34,"25-34",IF(HR_Attrition_Data[[#This Row],[Age]]&lt;44,"35-44","45+")))</f>
        <v>45+</v>
      </c>
      <c r="P3" t="str">
        <f>IF(HR_Attrition_Data[[#This Row],[Salary]]&lt;=50000,"Low",IF(HR_Attrition_Data[[#This Row],[Salary]]&lt;=100000,"Medium","High"))</f>
        <v>Medium</v>
      </c>
    </row>
    <row r="4" spans="1:16" x14ac:dyDescent="0.3">
      <c r="A4" s="1" t="s">
        <v>14</v>
      </c>
      <c r="B4" s="1" t="s">
        <v>114</v>
      </c>
      <c r="C4" s="3">
        <v>27</v>
      </c>
      <c r="D4" s="1" t="s">
        <v>212</v>
      </c>
      <c r="E4" s="1" t="s">
        <v>216</v>
      </c>
      <c r="F4" s="1" t="s">
        <v>222</v>
      </c>
      <c r="G4" s="1" t="s">
        <v>233</v>
      </c>
      <c r="H4" s="1" t="s">
        <v>216</v>
      </c>
      <c r="I4" s="1" t="s">
        <v>238</v>
      </c>
      <c r="J4" s="2">
        <v>23481</v>
      </c>
      <c r="K4" s="1" t="s">
        <v>241</v>
      </c>
      <c r="L4" s="10">
        <f>IF(HR_Attrition_Data[[#This Row],[Job Satisfaction]]="Low",1,IF(HR_Attrition_Data[[#This Row],[Job Satisfaction]]="Medium",2,3))</f>
        <v>1</v>
      </c>
      <c r="M4" s="1" t="s">
        <v>244</v>
      </c>
      <c r="N4" s="1">
        <f>IF(HR_Attrition_Data[[#This Row],[Attrition]]="Yes",1,0)</f>
        <v>1</v>
      </c>
      <c r="O4" s="1" t="str">
        <f>IF(HR_Attrition_Data[[#This Row],[Age]]&lt;25,"&lt;25",IF(HR_Attrition_Data[[#This Row],[Age]]&lt;=34,"25-34",IF(HR_Attrition_Data[[#This Row],[Age]]&lt;44,"35-44","45+")))</f>
        <v>25-34</v>
      </c>
      <c r="P4" t="str">
        <f>IF(HR_Attrition_Data[[#This Row],[Salary]]&lt;=50000,"Low",IF(HR_Attrition_Data[[#This Row],[Salary]]&lt;=100000,"Medium","High"))</f>
        <v>Low</v>
      </c>
    </row>
    <row r="5" spans="1:16" x14ac:dyDescent="0.3">
      <c r="A5" s="1" t="s">
        <v>15</v>
      </c>
      <c r="B5" s="1" t="s">
        <v>115</v>
      </c>
      <c r="C5" s="3">
        <v>36</v>
      </c>
      <c r="D5" s="1" t="s">
        <v>213</v>
      </c>
      <c r="E5" s="1" t="s">
        <v>216</v>
      </c>
      <c r="F5" s="1" t="s">
        <v>222</v>
      </c>
      <c r="G5" s="1" t="s">
        <v>234</v>
      </c>
      <c r="H5" s="1" t="s">
        <v>236</v>
      </c>
      <c r="I5" s="1" t="s">
        <v>237</v>
      </c>
      <c r="J5" s="2">
        <v>70209</v>
      </c>
      <c r="K5" s="1" t="s">
        <v>240</v>
      </c>
      <c r="L5" s="10">
        <f>IF(HR_Attrition_Data[[#This Row],[Job Satisfaction]]="Low",1,IF(HR_Attrition_Data[[#This Row],[Job Satisfaction]]="Medium",2,3))</f>
        <v>2</v>
      </c>
      <c r="M5" s="1" t="s">
        <v>244</v>
      </c>
      <c r="N5" s="1">
        <f>IF(HR_Attrition_Data[[#This Row],[Attrition]]="Yes",1,0)</f>
        <v>1</v>
      </c>
      <c r="O5" s="1" t="str">
        <f>IF(HR_Attrition_Data[[#This Row],[Age]]&lt;25,"&lt;25",IF(HR_Attrition_Data[[#This Row],[Age]]&lt;=34,"25-34",IF(HR_Attrition_Data[[#This Row],[Age]]&lt;44,"35-44","45+")))</f>
        <v>35-44</v>
      </c>
      <c r="P5" t="str">
        <f>IF(HR_Attrition_Data[[#This Row],[Salary]]&lt;=50000,"Low",IF(HR_Attrition_Data[[#This Row],[Salary]]&lt;=100000,"Medium","High"))</f>
        <v>Medium</v>
      </c>
    </row>
    <row r="6" spans="1:16" x14ac:dyDescent="0.3">
      <c r="A6" s="1" t="s">
        <v>16</v>
      </c>
      <c r="B6" s="1" t="s">
        <v>116</v>
      </c>
      <c r="C6" s="3">
        <v>21</v>
      </c>
      <c r="D6" s="1" t="s">
        <v>213</v>
      </c>
      <c r="E6" s="1" t="s">
        <v>217</v>
      </c>
      <c r="F6" s="1" t="s">
        <v>223</v>
      </c>
      <c r="G6" s="1" t="s">
        <v>234</v>
      </c>
      <c r="H6" s="1" t="s">
        <v>236</v>
      </c>
      <c r="I6" s="1" t="s">
        <v>239</v>
      </c>
      <c r="J6" s="2">
        <v>52610</v>
      </c>
      <c r="K6" s="1" t="s">
        <v>240</v>
      </c>
      <c r="L6" s="10">
        <f>IF(HR_Attrition_Data[[#This Row],[Job Satisfaction]]="Low",1,IF(HR_Attrition_Data[[#This Row],[Job Satisfaction]]="Medium",2,3))</f>
        <v>2</v>
      </c>
      <c r="M6" s="1" t="s">
        <v>244</v>
      </c>
      <c r="N6" s="1">
        <f>IF(HR_Attrition_Data[[#This Row],[Attrition]]="Yes",1,0)</f>
        <v>1</v>
      </c>
      <c r="O6" s="1" t="str">
        <f>IF(HR_Attrition_Data[[#This Row],[Age]]&lt;25,"&lt;25",IF(HR_Attrition_Data[[#This Row],[Age]]&lt;=34,"25-34",IF(HR_Attrition_Data[[#This Row],[Age]]&lt;44,"35-44","45+")))</f>
        <v>&lt;25</v>
      </c>
      <c r="P6" t="str">
        <f>IF(HR_Attrition_Data[[#This Row],[Salary]]&lt;=50000,"Low",IF(HR_Attrition_Data[[#This Row],[Salary]]&lt;=100000,"Medium","High"))</f>
        <v>Medium</v>
      </c>
    </row>
    <row r="7" spans="1:16" x14ac:dyDescent="0.3">
      <c r="A7" s="1" t="s">
        <v>17</v>
      </c>
      <c r="B7" s="1" t="s">
        <v>117</v>
      </c>
      <c r="C7" s="3">
        <v>56</v>
      </c>
      <c r="D7" s="1" t="s">
        <v>213</v>
      </c>
      <c r="E7" s="1" t="s">
        <v>215</v>
      </c>
      <c r="F7" s="1" t="s">
        <v>224</v>
      </c>
      <c r="G7" s="1" t="s">
        <v>235</v>
      </c>
      <c r="H7" s="1" t="s">
        <v>215</v>
      </c>
      <c r="I7" s="1" t="s">
        <v>239</v>
      </c>
      <c r="J7" s="2">
        <v>97963</v>
      </c>
      <c r="K7" s="1" t="s">
        <v>242</v>
      </c>
      <c r="L7" s="10">
        <f>IF(HR_Attrition_Data[[#This Row],[Job Satisfaction]]="Low",1,IF(HR_Attrition_Data[[#This Row],[Job Satisfaction]]="Medium",2,3))</f>
        <v>3</v>
      </c>
      <c r="M7" s="1" t="s">
        <v>243</v>
      </c>
      <c r="N7" s="1">
        <f>IF(HR_Attrition_Data[[#This Row],[Attrition]]="Yes",1,0)</f>
        <v>0</v>
      </c>
      <c r="O7" s="1" t="str">
        <f>IF(HR_Attrition_Data[[#This Row],[Age]]&lt;25,"&lt;25",IF(HR_Attrition_Data[[#This Row],[Age]]&lt;=34,"25-34",IF(HR_Attrition_Data[[#This Row],[Age]]&lt;44,"35-44","45+")))</f>
        <v>45+</v>
      </c>
      <c r="P7" t="str">
        <f>IF(HR_Attrition_Data[[#This Row],[Salary]]&lt;=50000,"Low",IF(HR_Attrition_Data[[#This Row],[Salary]]&lt;=100000,"Medium","High"))</f>
        <v>Medium</v>
      </c>
    </row>
    <row r="8" spans="1:16" x14ac:dyDescent="0.3">
      <c r="A8" s="1" t="s">
        <v>18</v>
      </c>
      <c r="B8" s="1" t="s">
        <v>118</v>
      </c>
      <c r="C8" s="3">
        <v>39</v>
      </c>
      <c r="D8" s="1" t="s">
        <v>212</v>
      </c>
      <c r="E8" s="1" t="s">
        <v>214</v>
      </c>
      <c r="F8" s="1" t="s">
        <v>225</v>
      </c>
      <c r="G8" s="1" t="s">
        <v>234</v>
      </c>
      <c r="H8" s="1" t="s">
        <v>214</v>
      </c>
      <c r="I8" s="1" t="s">
        <v>237</v>
      </c>
      <c r="J8" s="2">
        <v>146519</v>
      </c>
      <c r="K8" s="1" t="s">
        <v>242</v>
      </c>
      <c r="L8" s="10">
        <f>IF(HR_Attrition_Data[[#This Row],[Job Satisfaction]]="Low",1,IF(HR_Attrition_Data[[#This Row],[Job Satisfaction]]="Medium",2,3))</f>
        <v>3</v>
      </c>
      <c r="M8" s="1" t="s">
        <v>244</v>
      </c>
      <c r="N8" s="1">
        <f>IF(HR_Attrition_Data[[#This Row],[Attrition]]="Yes",1,0)</f>
        <v>1</v>
      </c>
      <c r="O8" s="1" t="str">
        <f>IF(HR_Attrition_Data[[#This Row],[Age]]&lt;25,"&lt;25",IF(HR_Attrition_Data[[#This Row],[Age]]&lt;=34,"25-34",IF(HR_Attrition_Data[[#This Row],[Age]]&lt;44,"35-44","45+")))</f>
        <v>35-44</v>
      </c>
      <c r="P8" t="str">
        <f>IF(HR_Attrition_Data[[#This Row],[Salary]]&lt;=50000,"Low",IF(HR_Attrition_Data[[#This Row],[Salary]]&lt;=100000,"Medium","High"))</f>
        <v>High</v>
      </c>
    </row>
    <row r="9" spans="1:16" x14ac:dyDescent="0.3">
      <c r="A9" s="1" t="s">
        <v>19</v>
      </c>
      <c r="B9" s="1" t="s">
        <v>119</v>
      </c>
      <c r="C9" s="3">
        <v>25</v>
      </c>
      <c r="D9" s="1" t="s">
        <v>213</v>
      </c>
      <c r="E9" s="1" t="s">
        <v>218</v>
      </c>
      <c r="F9" s="1" t="s">
        <v>226</v>
      </c>
      <c r="G9" s="1" t="s">
        <v>235</v>
      </c>
      <c r="H9" s="1" t="s">
        <v>236</v>
      </c>
      <c r="I9" s="1" t="s">
        <v>237</v>
      </c>
      <c r="J9" s="2">
        <v>10929</v>
      </c>
      <c r="K9" s="1" t="s">
        <v>241</v>
      </c>
      <c r="L9" s="10">
        <f>IF(HR_Attrition_Data[[#This Row],[Job Satisfaction]]="Low",1,IF(HR_Attrition_Data[[#This Row],[Job Satisfaction]]="Medium",2,3))</f>
        <v>1</v>
      </c>
      <c r="M9" s="1" t="s">
        <v>244</v>
      </c>
      <c r="N9" s="1">
        <f>IF(HR_Attrition_Data[[#This Row],[Attrition]]="Yes",1,0)</f>
        <v>1</v>
      </c>
      <c r="O9" s="1" t="str">
        <f>IF(HR_Attrition_Data[[#This Row],[Age]]&lt;25,"&lt;25",IF(HR_Attrition_Data[[#This Row],[Age]]&lt;=34,"25-34",IF(HR_Attrition_Data[[#This Row],[Age]]&lt;44,"35-44","45+")))</f>
        <v>25-34</v>
      </c>
      <c r="P9" t="str">
        <f>IF(HR_Attrition_Data[[#This Row],[Salary]]&lt;=50000,"Low",IF(HR_Attrition_Data[[#This Row],[Salary]]&lt;=100000,"Medium","High"))</f>
        <v>Low</v>
      </c>
    </row>
    <row r="10" spans="1:16" x14ac:dyDescent="0.3">
      <c r="A10" s="1" t="s">
        <v>20</v>
      </c>
      <c r="B10" s="1" t="s">
        <v>120</v>
      </c>
      <c r="C10" s="3">
        <v>31</v>
      </c>
      <c r="D10" s="1" t="s">
        <v>213</v>
      </c>
      <c r="E10" s="1" t="s">
        <v>215</v>
      </c>
      <c r="F10" s="1" t="s">
        <v>224</v>
      </c>
      <c r="G10" s="1" t="s">
        <v>233</v>
      </c>
      <c r="H10" s="1" t="s">
        <v>214</v>
      </c>
      <c r="I10" s="1" t="s">
        <v>239</v>
      </c>
      <c r="J10" s="2">
        <v>73482</v>
      </c>
      <c r="K10" s="1" t="s">
        <v>240</v>
      </c>
      <c r="L10" s="10">
        <f>IF(HR_Attrition_Data[[#This Row],[Job Satisfaction]]="Low",1,IF(HR_Attrition_Data[[#This Row],[Job Satisfaction]]="Medium",2,3))</f>
        <v>2</v>
      </c>
      <c r="M10" s="1" t="s">
        <v>243</v>
      </c>
      <c r="N10" s="1">
        <f>IF(HR_Attrition_Data[[#This Row],[Attrition]]="Yes",1,0)</f>
        <v>0</v>
      </c>
      <c r="O10" s="1" t="str">
        <f>IF(HR_Attrition_Data[[#This Row],[Age]]&lt;25,"&lt;25",IF(HR_Attrition_Data[[#This Row],[Age]]&lt;=34,"25-34",IF(HR_Attrition_Data[[#This Row],[Age]]&lt;44,"35-44","45+")))</f>
        <v>25-34</v>
      </c>
      <c r="P10" t="str">
        <f>IF(HR_Attrition_Data[[#This Row],[Salary]]&lt;=50000,"Low",IF(HR_Attrition_Data[[#This Row],[Salary]]&lt;=100000,"Medium","High"))</f>
        <v>Medium</v>
      </c>
    </row>
    <row r="11" spans="1:16" x14ac:dyDescent="0.3">
      <c r="A11" s="1" t="s">
        <v>21</v>
      </c>
      <c r="B11" s="1" t="s">
        <v>121</v>
      </c>
      <c r="C11" s="3">
        <v>21</v>
      </c>
      <c r="D11" s="1" t="s">
        <v>212</v>
      </c>
      <c r="E11" s="1" t="s">
        <v>216</v>
      </c>
      <c r="F11" s="1" t="s">
        <v>227</v>
      </c>
      <c r="G11" s="1" t="s">
        <v>233</v>
      </c>
      <c r="H11" s="1" t="s">
        <v>216</v>
      </c>
      <c r="I11" s="1" t="s">
        <v>238</v>
      </c>
      <c r="J11" s="2">
        <v>82554</v>
      </c>
      <c r="K11" s="1" t="s">
        <v>240</v>
      </c>
      <c r="L11" s="10">
        <f>IF(HR_Attrition_Data[[#This Row],[Job Satisfaction]]="Low",1,IF(HR_Attrition_Data[[#This Row],[Job Satisfaction]]="Medium",2,3))</f>
        <v>2</v>
      </c>
      <c r="M11" s="1" t="s">
        <v>244</v>
      </c>
      <c r="N11" s="1">
        <f>IF(HR_Attrition_Data[[#This Row],[Attrition]]="Yes",1,0)</f>
        <v>1</v>
      </c>
      <c r="O11" s="1" t="str">
        <f>IF(HR_Attrition_Data[[#This Row],[Age]]&lt;25,"&lt;25",IF(HR_Attrition_Data[[#This Row],[Age]]&lt;=34,"25-34",IF(HR_Attrition_Data[[#This Row],[Age]]&lt;44,"35-44","45+")))</f>
        <v>&lt;25</v>
      </c>
      <c r="P11" t="str">
        <f>IF(HR_Attrition_Data[[#This Row],[Salary]]&lt;=50000,"Low",IF(HR_Attrition_Data[[#This Row],[Salary]]&lt;=100000,"Medium","High"))</f>
        <v>Medium</v>
      </c>
    </row>
    <row r="12" spans="1:16" x14ac:dyDescent="0.3">
      <c r="A12" s="1" t="s">
        <v>22</v>
      </c>
      <c r="B12" s="1" t="s">
        <v>122</v>
      </c>
      <c r="C12" s="3">
        <v>51</v>
      </c>
      <c r="D12" s="1" t="s">
        <v>213</v>
      </c>
      <c r="E12" s="1" t="s">
        <v>214</v>
      </c>
      <c r="F12" s="1" t="s">
        <v>225</v>
      </c>
      <c r="G12" s="1" t="s">
        <v>234</v>
      </c>
      <c r="H12" s="1" t="s">
        <v>214</v>
      </c>
      <c r="I12" s="1" t="s">
        <v>239</v>
      </c>
      <c r="J12" s="2">
        <v>129393</v>
      </c>
      <c r="K12" s="1" t="s">
        <v>242</v>
      </c>
      <c r="L12" s="10">
        <f>IF(HR_Attrition_Data[[#This Row],[Job Satisfaction]]="Low",1,IF(HR_Attrition_Data[[#This Row],[Job Satisfaction]]="Medium",2,3))</f>
        <v>3</v>
      </c>
      <c r="M12" s="1" t="s">
        <v>243</v>
      </c>
      <c r="N12" s="1">
        <f>IF(HR_Attrition_Data[[#This Row],[Attrition]]="Yes",1,0)</f>
        <v>0</v>
      </c>
      <c r="O12" s="1" t="str">
        <f>IF(HR_Attrition_Data[[#This Row],[Age]]&lt;25,"&lt;25",IF(HR_Attrition_Data[[#This Row],[Age]]&lt;=34,"25-34",IF(HR_Attrition_Data[[#This Row],[Age]]&lt;44,"35-44","45+")))</f>
        <v>45+</v>
      </c>
      <c r="P12" t="str">
        <f>IF(HR_Attrition_Data[[#This Row],[Salary]]&lt;=50000,"Low",IF(HR_Attrition_Data[[#This Row],[Salary]]&lt;=100000,"Medium","High"))</f>
        <v>High</v>
      </c>
    </row>
    <row r="13" spans="1:16" x14ac:dyDescent="0.3">
      <c r="A13" s="1" t="s">
        <v>23</v>
      </c>
      <c r="B13" s="1" t="s">
        <v>123</v>
      </c>
      <c r="C13" s="3">
        <v>36</v>
      </c>
      <c r="D13" s="1" t="s">
        <v>213</v>
      </c>
      <c r="E13" s="1" t="s">
        <v>214</v>
      </c>
      <c r="F13" s="1" t="s">
        <v>220</v>
      </c>
      <c r="G13" s="1" t="s">
        <v>234</v>
      </c>
      <c r="H13" s="1" t="s">
        <v>214</v>
      </c>
      <c r="I13" s="1" t="s">
        <v>238</v>
      </c>
      <c r="J13" s="2">
        <v>22173</v>
      </c>
      <c r="K13" s="1" t="s">
        <v>240</v>
      </c>
      <c r="L13" s="10">
        <f>IF(HR_Attrition_Data[[#This Row],[Job Satisfaction]]="Low",1,IF(HR_Attrition_Data[[#This Row],[Job Satisfaction]]="Medium",2,3))</f>
        <v>2</v>
      </c>
      <c r="M13" s="1" t="s">
        <v>244</v>
      </c>
      <c r="N13" s="1">
        <f>IF(HR_Attrition_Data[[#This Row],[Attrition]]="Yes",1,0)</f>
        <v>1</v>
      </c>
      <c r="O13" s="1" t="str">
        <f>IF(HR_Attrition_Data[[#This Row],[Age]]&lt;25,"&lt;25",IF(HR_Attrition_Data[[#This Row],[Age]]&lt;=34,"25-34",IF(HR_Attrition_Data[[#This Row],[Age]]&lt;44,"35-44","45+")))</f>
        <v>35-44</v>
      </c>
      <c r="P13" t="str">
        <f>IF(HR_Attrition_Data[[#This Row],[Salary]]&lt;=50000,"Low",IF(HR_Attrition_Data[[#This Row],[Salary]]&lt;=100000,"Medium","High"))</f>
        <v>Low</v>
      </c>
    </row>
    <row r="14" spans="1:16" x14ac:dyDescent="0.3">
      <c r="A14" s="1" t="s">
        <v>24</v>
      </c>
      <c r="B14" s="1" t="s">
        <v>124</v>
      </c>
      <c r="C14" s="3">
        <v>30</v>
      </c>
      <c r="D14" s="1" t="s">
        <v>213</v>
      </c>
      <c r="E14" s="1" t="s">
        <v>217</v>
      </c>
      <c r="F14" s="1" t="s">
        <v>223</v>
      </c>
      <c r="G14" s="1" t="s">
        <v>234</v>
      </c>
      <c r="H14" s="1" t="s">
        <v>214</v>
      </c>
      <c r="I14" s="1" t="s">
        <v>238</v>
      </c>
      <c r="J14" s="2">
        <v>108726</v>
      </c>
      <c r="K14" s="1" t="s">
        <v>242</v>
      </c>
      <c r="L14" s="10">
        <f>IF(HR_Attrition_Data[[#This Row],[Job Satisfaction]]="Low",1,IF(HR_Attrition_Data[[#This Row],[Job Satisfaction]]="Medium",2,3))</f>
        <v>3</v>
      </c>
      <c r="M14" s="1" t="s">
        <v>243</v>
      </c>
      <c r="N14" s="1">
        <f>IF(HR_Attrition_Data[[#This Row],[Attrition]]="Yes",1,0)</f>
        <v>0</v>
      </c>
      <c r="O14" s="1" t="str">
        <f>IF(HR_Attrition_Data[[#This Row],[Age]]&lt;25,"&lt;25",IF(HR_Attrition_Data[[#This Row],[Age]]&lt;=34,"25-34",IF(HR_Attrition_Data[[#This Row],[Age]]&lt;44,"35-44","45+")))</f>
        <v>25-34</v>
      </c>
      <c r="P14" t="str">
        <f>IF(HR_Attrition_Data[[#This Row],[Salary]]&lt;=50000,"Low",IF(HR_Attrition_Data[[#This Row],[Salary]]&lt;=100000,"Medium","High"))</f>
        <v>High</v>
      </c>
    </row>
    <row r="15" spans="1:16" x14ac:dyDescent="0.3">
      <c r="A15" s="1" t="s">
        <v>25</v>
      </c>
      <c r="B15" s="1" t="s">
        <v>125</v>
      </c>
      <c r="C15" s="3">
        <v>42</v>
      </c>
      <c r="D15" s="1" t="s">
        <v>213</v>
      </c>
      <c r="E15" s="1" t="s">
        <v>214</v>
      </c>
      <c r="F15" s="1" t="s">
        <v>225</v>
      </c>
      <c r="G15" s="1" t="s">
        <v>234</v>
      </c>
      <c r="H15" s="1" t="s">
        <v>219</v>
      </c>
      <c r="I15" s="1" t="s">
        <v>237</v>
      </c>
      <c r="J15" s="2">
        <v>74562</v>
      </c>
      <c r="K15" s="1" t="s">
        <v>240</v>
      </c>
      <c r="L15" s="10">
        <f>IF(HR_Attrition_Data[[#This Row],[Job Satisfaction]]="Low",1,IF(HR_Attrition_Data[[#This Row],[Job Satisfaction]]="Medium",2,3))</f>
        <v>2</v>
      </c>
      <c r="M15" s="1" t="s">
        <v>244</v>
      </c>
      <c r="N15" s="1">
        <f>IF(HR_Attrition_Data[[#This Row],[Attrition]]="Yes",1,0)</f>
        <v>1</v>
      </c>
      <c r="O15" s="1" t="str">
        <f>IF(HR_Attrition_Data[[#This Row],[Age]]&lt;25,"&lt;25",IF(HR_Attrition_Data[[#This Row],[Age]]&lt;=34,"25-34",IF(HR_Attrition_Data[[#This Row],[Age]]&lt;44,"35-44","45+")))</f>
        <v>35-44</v>
      </c>
      <c r="P15" t="str">
        <f>IF(HR_Attrition_Data[[#This Row],[Salary]]&lt;=50000,"Low",IF(HR_Attrition_Data[[#This Row],[Salary]]&lt;=100000,"Medium","High"))</f>
        <v>Medium</v>
      </c>
    </row>
    <row r="16" spans="1:16" x14ac:dyDescent="0.3">
      <c r="A16" s="1" t="s">
        <v>26</v>
      </c>
      <c r="B16" s="1" t="s">
        <v>126</v>
      </c>
      <c r="C16" s="3">
        <v>51</v>
      </c>
      <c r="D16" s="1" t="s">
        <v>213</v>
      </c>
      <c r="E16" s="1" t="s">
        <v>217</v>
      </c>
      <c r="F16" s="1" t="s">
        <v>228</v>
      </c>
      <c r="G16" s="1" t="s">
        <v>234</v>
      </c>
      <c r="H16" s="1" t="s">
        <v>214</v>
      </c>
      <c r="I16" s="1" t="s">
        <v>238</v>
      </c>
      <c r="J16" s="2">
        <v>34435</v>
      </c>
      <c r="K16" s="1" t="s">
        <v>242</v>
      </c>
      <c r="L16" s="10">
        <f>IF(HR_Attrition_Data[[#This Row],[Job Satisfaction]]="Low",1,IF(HR_Attrition_Data[[#This Row],[Job Satisfaction]]="Medium",2,3))</f>
        <v>3</v>
      </c>
      <c r="M16" s="1" t="s">
        <v>244</v>
      </c>
      <c r="N16" s="1">
        <f>IF(HR_Attrition_Data[[#This Row],[Attrition]]="Yes",1,0)</f>
        <v>1</v>
      </c>
      <c r="O16" s="1" t="str">
        <f>IF(HR_Attrition_Data[[#This Row],[Age]]&lt;25,"&lt;25",IF(HR_Attrition_Data[[#This Row],[Age]]&lt;=34,"25-34",IF(HR_Attrition_Data[[#This Row],[Age]]&lt;44,"35-44","45+")))</f>
        <v>45+</v>
      </c>
      <c r="P16" t="str">
        <f>IF(HR_Attrition_Data[[#This Row],[Salary]]&lt;=50000,"Low",IF(HR_Attrition_Data[[#This Row],[Salary]]&lt;=100000,"Medium","High"))</f>
        <v>Low</v>
      </c>
    </row>
    <row r="17" spans="1:16" x14ac:dyDescent="0.3">
      <c r="A17" s="1" t="s">
        <v>27</v>
      </c>
      <c r="B17" s="1" t="s">
        <v>127</v>
      </c>
      <c r="C17" s="3">
        <v>51</v>
      </c>
      <c r="D17" s="1" t="s">
        <v>213</v>
      </c>
      <c r="E17" s="1" t="s">
        <v>215</v>
      </c>
      <c r="F17" s="1" t="s">
        <v>221</v>
      </c>
      <c r="G17" s="1" t="s">
        <v>235</v>
      </c>
      <c r="H17" s="1" t="s">
        <v>216</v>
      </c>
      <c r="I17" s="1" t="s">
        <v>237</v>
      </c>
      <c r="J17" s="2">
        <v>11784</v>
      </c>
      <c r="K17" s="1" t="s">
        <v>241</v>
      </c>
      <c r="L17" s="10">
        <f>IF(HR_Attrition_Data[[#This Row],[Job Satisfaction]]="Low",1,IF(HR_Attrition_Data[[#This Row],[Job Satisfaction]]="Medium",2,3))</f>
        <v>1</v>
      </c>
      <c r="M17" s="1" t="s">
        <v>244</v>
      </c>
      <c r="N17" s="1">
        <f>IF(HR_Attrition_Data[[#This Row],[Attrition]]="Yes",1,0)</f>
        <v>1</v>
      </c>
      <c r="O17" s="1" t="str">
        <f>IF(HR_Attrition_Data[[#This Row],[Age]]&lt;25,"&lt;25",IF(HR_Attrition_Data[[#This Row],[Age]]&lt;=34,"25-34",IF(HR_Attrition_Data[[#This Row],[Age]]&lt;44,"35-44","45+")))</f>
        <v>45+</v>
      </c>
      <c r="P17" t="str">
        <f>IF(HR_Attrition_Data[[#This Row],[Salary]]&lt;=50000,"Low",IF(HR_Attrition_Data[[#This Row],[Salary]]&lt;=100000,"Medium","High"))</f>
        <v>Low</v>
      </c>
    </row>
    <row r="18" spans="1:16" x14ac:dyDescent="0.3">
      <c r="A18" s="1" t="s">
        <v>28</v>
      </c>
      <c r="B18" s="1" t="s">
        <v>128</v>
      </c>
      <c r="C18" s="3">
        <v>40</v>
      </c>
      <c r="D18" s="1" t="s">
        <v>213</v>
      </c>
      <c r="E18" s="1" t="s">
        <v>216</v>
      </c>
      <c r="F18" s="1" t="s">
        <v>227</v>
      </c>
      <c r="G18" s="1" t="s">
        <v>233</v>
      </c>
      <c r="H18" s="1" t="s">
        <v>219</v>
      </c>
      <c r="I18" s="1" t="s">
        <v>238</v>
      </c>
      <c r="J18" s="2">
        <v>38616</v>
      </c>
      <c r="K18" s="1" t="s">
        <v>240</v>
      </c>
      <c r="L18" s="10">
        <f>IF(HR_Attrition_Data[[#This Row],[Job Satisfaction]]="Low",1,IF(HR_Attrition_Data[[#This Row],[Job Satisfaction]]="Medium",2,3))</f>
        <v>2</v>
      </c>
      <c r="M18" s="1" t="s">
        <v>244</v>
      </c>
      <c r="N18" s="1">
        <f>IF(HR_Attrition_Data[[#This Row],[Attrition]]="Yes",1,0)</f>
        <v>1</v>
      </c>
      <c r="O18" s="1" t="str">
        <f>IF(HR_Attrition_Data[[#This Row],[Age]]&lt;25,"&lt;25",IF(HR_Attrition_Data[[#This Row],[Age]]&lt;=34,"25-34",IF(HR_Attrition_Data[[#This Row],[Age]]&lt;44,"35-44","45+")))</f>
        <v>35-44</v>
      </c>
      <c r="P18" t="str">
        <f>IF(HR_Attrition_Data[[#This Row],[Salary]]&lt;=50000,"Low",IF(HR_Attrition_Data[[#This Row],[Salary]]&lt;=100000,"Medium","High"))</f>
        <v>Low</v>
      </c>
    </row>
    <row r="19" spans="1:16" x14ac:dyDescent="0.3">
      <c r="A19" s="1" t="s">
        <v>29</v>
      </c>
      <c r="B19" s="1" t="s">
        <v>129</v>
      </c>
      <c r="C19" s="3">
        <v>39</v>
      </c>
      <c r="D19" s="1" t="s">
        <v>212</v>
      </c>
      <c r="E19" s="1" t="s">
        <v>215</v>
      </c>
      <c r="F19" s="1" t="s">
        <v>221</v>
      </c>
      <c r="G19" s="1" t="s">
        <v>234</v>
      </c>
      <c r="H19" s="1" t="s">
        <v>215</v>
      </c>
      <c r="I19" s="1" t="s">
        <v>238</v>
      </c>
      <c r="J19" s="2">
        <v>36914</v>
      </c>
      <c r="K19" s="1" t="s">
        <v>242</v>
      </c>
      <c r="L19" s="10">
        <f>IF(HR_Attrition_Data[[#This Row],[Job Satisfaction]]="Low",1,IF(HR_Attrition_Data[[#This Row],[Job Satisfaction]]="Medium",2,3))</f>
        <v>3</v>
      </c>
      <c r="M19" s="1" t="s">
        <v>243</v>
      </c>
      <c r="N19" s="1">
        <f>IF(HR_Attrition_Data[[#This Row],[Attrition]]="Yes",1,0)</f>
        <v>0</v>
      </c>
      <c r="O19" s="1" t="str">
        <f>IF(HR_Attrition_Data[[#This Row],[Age]]&lt;25,"&lt;25",IF(HR_Attrition_Data[[#This Row],[Age]]&lt;=34,"25-34",IF(HR_Attrition_Data[[#This Row],[Age]]&lt;44,"35-44","45+")))</f>
        <v>35-44</v>
      </c>
      <c r="P19" t="str">
        <f>IF(HR_Attrition_Data[[#This Row],[Salary]]&lt;=50000,"Low",IF(HR_Attrition_Data[[#This Row],[Salary]]&lt;=100000,"Medium","High"))</f>
        <v>Low</v>
      </c>
    </row>
    <row r="20" spans="1:16" x14ac:dyDescent="0.3">
      <c r="A20" s="1" t="s">
        <v>30</v>
      </c>
      <c r="B20" s="1" t="s">
        <v>130</v>
      </c>
      <c r="C20" s="3">
        <v>28</v>
      </c>
      <c r="D20" s="1" t="s">
        <v>212</v>
      </c>
      <c r="E20" s="1" t="s">
        <v>215</v>
      </c>
      <c r="F20" s="1" t="s">
        <v>229</v>
      </c>
      <c r="G20" s="1" t="s">
        <v>235</v>
      </c>
      <c r="H20" s="1" t="s">
        <v>236</v>
      </c>
      <c r="I20" s="1" t="s">
        <v>238</v>
      </c>
      <c r="J20" s="2">
        <v>47536</v>
      </c>
      <c r="K20" s="1" t="s">
        <v>242</v>
      </c>
      <c r="L20" s="10">
        <f>IF(HR_Attrition_Data[[#This Row],[Job Satisfaction]]="Low",1,IF(HR_Attrition_Data[[#This Row],[Job Satisfaction]]="Medium",2,3))</f>
        <v>3</v>
      </c>
      <c r="M20" s="1" t="s">
        <v>244</v>
      </c>
      <c r="N20" s="1">
        <f>IF(HR_Attrition_Data[[#This Row],[Attrition]]="Yes",1,0)</f>
        <v>1</v>
      </c>
      <c r="O20" s="1" t="str">
        <f>IF(HR_Attrition_Data[[#This Row],[Age]]&lt;25,"&lt;25",IF(HR_Attrition_Data[[#This Row],[Age]]&lt;=34,"25-34",IF(HR_Attrition_Data[[#This Row],[Age]]&lt;44,"35-44","45+")))</f>
        <v>25-34</v>
      </c>
      <c r="P20" t="str">
        <f>IF(HR_Attrition_Data[[#This Row],[Salary]]&lt;=50000,"Low",IF(HR_Attrition_Data[[#This Row],[Salary]]&lt;=100000,"Medium","High"))</f>
        <v>Low</v>
      </c>
    </row>
    <row r="21" spans="1:16" x14ac:dyDescent="0.3">
      <c r="A21" s="1" t="s">
        <v>31</v>
      </c>
      <c r="B21" s="1" t="s">
        <v>131</v>
      </c>
      <c r="C21" s="3">
        <v>53</v>
      </c>
      <c r="D21" s="1" t="s">
        <v>212</v>
      </c>
      <c r="E21" s="1" t="s">
        <v>218</v>
      </c>
      <c r="F21" s="1" t="s">
        <v>230</v>
      </c>
      <c r="G21" s="1" t="s">
        <v>234</v>
      </c>
      <c r="H21" s="1" t="s">
        <v>214</v>
      </c>
      <c r="I21" s="1" t="s">
        <v>237</v>
      </c>
      <c r="J21" s="2">
        <v>43606</v>
      </c>
      <c r="K21" s="1" t="s">
        <v>240</v>
      </c>
      <c r="L21" s="10">
        <f>IF(HR_Attrition_Data[[#This Row],[Job Satisfaction]]="Low",1,IF(HR_Attrition_Data[[#This Row],[Job Satisfaction]]="Medium",2,3))</f>
        <v>2</v>
      </c>
      <c r="M21" s="1" t="s">
        <v>244</v>
      </c>
      <c r="N21" s="1">
        <f>IF(HR_Attrition_Data[[#This Row],[Attrition]]="Yes",1,0)</f>
        <v>1</v>
      </c>
      <c r="O21" s="1" t="str">
        <f>IF(HR_Attrition_Data[[#This Row],[Age]]&lt;25,"&lt;25",IF(HR_Attrition_Data[[#This Row],[Age]]&lt;=34,"25-34",IF(HR_Attrition_Data[[#This Row],[Age]]&lt;44,"35-44","45+")))</f>
        <v>45+</v>
      </c>
      <c r="P21" t="str">
        <f>IF(HR_Attrition_Data[[#This Row],[Salary]]&lt;=50000,"Low",IF(HR_Attrition_Data[[#This Row],[Salary]]&lt;=100000,"Medium","High"))</f>
        <v>Low</v>
      </c>
    </row>
    <row r="22" spans="1:16" x14ac:dyDescent="0.3">
      <c r="A22" s="1" t="s">
        <v>32</v>
      </c>
      <c r="B22" s="1" t="s">
        <v>132</v>
      </c>
      <c r="C22" s="3">
        <v>23</v>
      </c>
      <c r="D22" s="1" t="s">
        <v>212</v>
      </c>
      <c r="E22" s="1" t="s">
        <v>214</v>
      </c>
      <c r="F22" s="1" t="s">
        <v>220</v>
      </c>
      <c r="G22" s="1" t="s">
        <v>234</v>
      </c>
      <c r="H22" s="1" t="s">
        <v>219</v>
      </c>
      <c r="I22" s="1" t="s">
        <v>237</v>
      </c>
      <c r="J22" s="2">
        <v>148674</v>
      </c>
      <c r="K22" s="1" t="s">
        <v>240</v>
      </c>
      <c r="L22" s="10">
        <f>IF(HR_Attrition_Data[[#This Row],[Job Satisfaction]]="Low",1,IF(HR_Attrition_Data[[#This Row],[Job Satisfaction]]="Medium",2,3))</f>
        <v>2</v>
      </c>
      <c r="M22" s="1" t="s">
        <v>244</v>
      </c>
      <c r="N22" s="1">
        <f>IF(HR_Attrition_Data[[#This Row],[Attrition]]="Yes",1,0)</f>
        <v>1</v>
      </c>
      <c r="O22" s="1" t="str">
        <f>IF(HR_Attrition_Data[[#This Row],[Age]]&lt;25,"&lt;25",IF(HR_Attrition_Data[[#This Row],[Age]]&lt;=34,"25-34",IF(HR_Attrition_Data[[#This Row],[Age]]&lt;44,"35-44","45+")))</f>
        <v>&lt;25</v>
      </c>
      <c r="P22" t="str">
        <f>IF(HR_Attrition_Data[[#This Row],[Salary]]&lt;=50000,"Low",IF(HR_Attrition_Data[[#This Row],[Salary]]&lt;=100000,"Medium","High"))</f>
        <v>High</v>
      </c>
    </row>
    <row r="23" spans="1:16" x14ac:dyDescent="0.3">
      <c r="A23" s="1" t="s">
        <v>33</v>
      </c>
      <c r="B23" s="1" t="s">
        <v>133</v>
      </c>
      <c r="C23" s="3">
        <v>33</v>
      </c>
      <c r="D23" s="1" t="s">
        <v>212</v>
      </c>
      <c r="E23" s="1" t="s">
        <v>219</v>
      </c>
      <c r="F23" s="1" t="s">
        <v>231</v>
      </c>
      <c r="G23" s="1" t="s">
        <v>233</v>
      </c>
      <c r="H23" s="1" t="s">
        <v>215</v>
      </c>
      <c r="I23" s="1" t="s">
        <v>239</v>
      </c>
      <c r="J23" s="2">
        <v>32723</v>
      </c>
      <c r="K23" s="1" t="s">
        <v>242</v>
      </c>
      <c r="L23" s="10">
        <f>IF(HR_Attrition_Data[[#This Row],[Job Satisfaction]]="Low",1,IF(HR_Attrition_Data[[#This Row],[Job Satisfaction]]="Medium",2,3))</f>
        <v>3</v>
      </c>
      <c r="M23" s="1" t="s">
        <v>243</v>
      </c>
      <c r="N23" s="1">
        <f>IF(HR_Attrition_Data[[#This Row],[Attrition]]="Yes",1,0)</f>
        <v>0</v>
      </c>
      <c r="O23" s="1" t="str">
        <f>IF(HR_Attrition_Data[[#This Row],[Age]]&lt;25,"&lt;25",IF(HR_Attrition_Data[[#This Row],[Age]]&lt;=34,"25-34",IF(HR_Attrition_Data[[#This Row],[Age]]&lt;44,"35-44","45+")))</f>
        <v>25-34</v>
      </c>
      <c r="P23" t="str">
        <f>IF(HR_Attrition_Data[[#This Row],[Salary]]&lt;=50000,"Low",IF(HR_Attrition_Data[[#This Row],[Salary]]&lt;=100000,"Medium","High"))</f>
        <v>Low</v>
      </c>
    </row>
    <row r="24" spans="1:16" x14ac:dyDescent="0.3">
      <c r="A24" s="1" t="s">
        <v>34</v>
      </c>
      <c r="B24" s="1" t="s">
        <v>134</v>
      </c>
      <c r="C24" s="3">
        <v>57</v>
      </c>
      <c r="D24" s="1" t="s">
        <v>213</v>
      </c>
      <c r="E24" s="1" t="s">
        <v>216</v>
      </c>
      <c r="F24" s="1" t="s">
        <v>222</v>
      </c>
      <c r="G24" s="1" t="s">
        <v>235</v>
      </c>
      <c r="H24" s="1" t="s">
        <v>214</v>
      </c>
      <c r="I24" s="1" t="s">
        <v>238</v>
      </c>
      <c r="J24" s="2">
        <v>47351</v>
      </c>
      <c r="K24" s="1" t="s">
        <v>242</v>
      </c>
      <c r="L24" s="10">
        <f>IF(HR_Attrition_Data[[#This Row],[Job Satisfaction]]="Low",1,IF(HR_Attrition_Data[[#This Row],[Job Satisfaction]]="Medium",2,3))</f>
        <v>3</v>
      </c>
      <c r="M24" s="1" t="s">
        <v>243</v>
      </c>
      <c r="N24" s="1">
        <f>IF(HR_Attrition_Data[[#This Row],[Attrition]]="Yes",1,0)</f>
        <v>0</v>
      </c>
      <c r="O24" s="1" t="str">
        <f>IF(HR_Attrition_Data[[#This Row],[Age]]&lt;25,"&lt;25",IF(HR_Attrition_Data[[#This Row],[Age]]&lt;=34,"25-34",IF(HR_Attrition_Data[[#This Row],[Age]]&lt;44,"35-44","45+")))</f>
        <v>45+</v>
      </c>
      <c r="P24" t="str">
        <f>IF(HR_Attrition_Data[[#This Row],[Salary]]&lt;=50000,"Low",IF(HR_Attrition_Data[[#This Row],[Salary]]&lt;=100000,"Medium","High"))</f>
        <v>Low</v>
      </c>
    </row>
    <row r="25" spans="1:16" x14ac:dyDescent="0.3">
      <c r="A25" s="1" t="s">
        <v>35</v>
      </c>
      <c r="B25" s="1" t="s">
        <v>135</v>
      </c>
      <c r="C25" s="3">
        <v>56</v>
      </c>
      <c r="D25" s="1" t="s">
        <v>213</v>
      </c>
      <c r="E25" s="1" t="s">
        <v>214</v>
      </c>
      <c r="F25" s="1" t="s">
        <v>225</v>
      </c>
      <c r="G25" s="1" t="s">
        <v>233</v>
      </c>
      <c r="H25" s="1" t="s">
        <v>236</v>
      </c>
      <c r="I25" s="1" t="s">
        <v>237</v>
      </c>
      <c r="J25" s="2">
        <v>135854</v>
      </c>
      <c r="K25" s="1" t="s">
        <v>242</v>
      </c>
      <c r="L25" s="10">
        <f>IF(HR_Attrition_Data[[#This Row],[Job Satisfaction]]="Low",1,IF(HR_Attrition_Data[[#This Row],[Job Satisfaction]]="Medium",2,3))</f>
        <v>3</v>
      </c>
      <c r="M25" s="1" t="s">
        <v>243</v>
      </c>
      <c r="N25" s="1">
        <f>IF(HR_Attrition_Data[[#This Row],[Attrition]]="Yes",1,0)</f>
        <v>0</v>
      </c>
      <c r="O25" s="1" t="str">
        <f>IF(HR_Attrition_Data[[#This Row],[Age]]&lt;25,"&lt;25",IF(HR_Attrition_Data[[#This Row],[Age]]&lt;=34,"25-34",IF(HR_Attrition_Data[[#This Row],[Age]]&lt;44,"35-44","45+")))</f>
        <v>45+</v>
      </c>
      <c r="P25" t="str">
        <f>IF(HR_Attrition_Data[[#This Row],[Salary]]&lt;=50000,"Low",IF(HR_Attrition_Data[[#This Row],[Salary]]&lt;=100000,"Medium","High"))</f>
        <v>High</v>
      </c>
    </row>
    <row r="26" spans="1:16" x14ac:dyDescent="0.3">
      <c r="A26" s="1" t="s">
        <v>36</v>
      </c>
      <c r="B26" s="1" t="s">
        <v>136</v>
      </c>
      <c r="C26" s="3">
        <v>38</v>
      </c>
      <c r="D26" s="1" t="s">
        <v>212</v>
      </c>
      <c r="E26" s="1" t="s">
        <v>214</v>
      </c>
      <c r="F26" s="1" t="s">
        <v>225</v>
      </c>
      <c r="G26" s="1" t="s">
        <v>234</v>
      </c>
      <c r="H26" s="1" t="s">
        <v>215</v>
      </c>
      <c r="I26" s="1" t="s">
        <v>237</v>
      </c>
      <c r="J26" s="2">
        <v>67885</v>
      </c>
      <c r="K26" s="1" t="s">
        <v>240</v>
      </c>
      <c r="L26" s="10">
        <f>IF(HR_Attrition_Data[[#This Row],[Job Satisfaction]]="Low",1,IF(HR_Attrition_Data[[#This Row],[Job Satisfaction]]="Medium",2,3))</f>
        <v>2</v>
      </c>
      <c r="M26" s="1" t="s">
        <v>244</v>
      </c>
      <c r="N26" s="1">
        <f>IF(HR_Attrition_Data[[#This Row],[Attrition]]="Yes",1,0)</f>
        <v>1</v>
      </c>
      <c r="O26" s="1" t="str">
        <f>IF(HR_Attrition_Data[[#This Row],[Age]]&lt;25,"&lt;25",IF(HR_Attrition_Data[[#This Row],[Age]]&lt;=34,"25-34",IF(HR_Attrition_Data[[#This Row],[Age]]&lt;44,"35-44","45+")))</f>
        <v>35-44</v>
      </c>
      <c r="P26" t="str">
        <f>IF(HR_Attrition_Data[[#This Row],[Salary]]&lt;=50000,"Low",IF(HR_Attrition_Data[[#This Row],[Salary]]&lt;=100000,"Medium","High"))</f>
        <v>Medium</v>
      </c>
    </row>
    <row r="27" spans="1:16" x14ac:dyDescent="0.3">
      <c r="A27" s="1" t="s">
        <v>37</v>
      </c>
      <c r="B27" s="1" t="s">
        <v>137</v>
      </c>
      <c r="C27" s="3">
        <v>56</v>
      </c>
      <c r="D27" s="1" t="s">
        <v>213</v>
      </c>
      <c r="E27" s="1" t="s">
        <v>219</v>
      </c>
      <c r="F27" s="1" t="s">
        <v>231</v>
      </c>
      <c r="G27" s="1" t="s">
        <v>235</v>
      </c>
      <c r="H27" s="1" t="s">
        <v>236</v>
      </c>
      <c r="I27" s="1" t="s">
        <v>238</v>
      </c>
      <c r="J27" s="2">
        <v>40546</v>
      </c>
      <c r="K27" s="1" t="s">
        <v>240</v>
      </c>
      <c r="L27" s="10">
        <f>IF(HR_Attrition_Data[[#This Row],[Job Satisfaction]]="Low",1,IF(HR_Attrition_Data[[#This Row],[Job Satisfaction]]="Medium",2,3))</f>
        <v>2</v>
      </c>
      <c r="M27" s="1" t="s">
        <v>244</v>
      </c>
      <c r="N27" s="1">
        <f>IF(HR_Attrition_Data[[#This Row],[Attrition]]="Yes",1,0)</f>
        <v>1</v>
      </c>
      <c r="O27" s="1" t="str">
        <f>IF(HR_Attrition_Data[[#This Row],[Age]]&lt;25,"&lt;25",IF(HR_Attrition_Data[[#This Row],[Age]]&lt;=34,"25-34",IF(HR_Attrition_Data[[#This Row],[Age]]&lt;44,"35-44","45+")))</f>
        <v>45+</v>
      </c>
      <c r="P27" t="str">
        <f>IF(HR_Attrition_Data[[#This Row],[Salary]]&lt;=50000,"Low",IF(HR_Attrition_Data[[#This Row],[Salary]]&lt;=100000,"Medium","High"))</f>
        <v>Low</v>
      </c>
    </row>
    <row r="28" spans="1:16" x14ac:dyDescent="0.3">
      <c r="A28" s="1" t="s">
        <v>38</v>
      </c>
      <c r="B28" s="1" t="s">
        <v>138</v>
      </c>
      <c r="C28" s="3">
        <v>51</v>
      </c>
      <c r="D28" s="1" t="s">
        <v>212</v>
      </c>
      <c r="E28" s="1" t="s">
        <v>214</v>
      </c>
      <c r="F28" s="1" t="s">
        <v>225</v>
      </c>
      <c r="G28" s="1" t="s">
        <v>235</v>
      </c>
      <c r="H28" s="1" t="s">
        <v>214</v>
      </c>
      <c r="I28" s="1" t="s">
        <v>238</v>
      </c>
      <c r="J28" s="2">
        <v>99295</v>
      </c>
      <c r="K28" s="1" t="s">
        <v>242</v>
      </c>
      <c r="L28" s="10">
        <f>IF(HR_Attrition_Data[[#This Row],[Job Satisfaction]]="Low",1,IF(HR_Attrition_Data[[#This Row],[Job Satisfaction]]="Medium",2,3))</f>
        <v>3</v>
      </c>
      <c r="M28" s="1" t="s">
        <v>243</v>
      </c>
      <c r="N28" s="1">
        <f>IF(HR_Attrition_Data[[#This Row],[Attrition]]="Yes",1,0)</f>
        <v>0</v>
      </c>
      <c r="O28" s="1" t="str">
        <f>IF(HR_Attrition_Data[[#This Row],[Age]]&lt;25,"&lt;25",IF(HR_Attrition_Data[[#This Row],[Age]]&lt;=34,"25-34",IF(HR_Attrition_Data[[#This Row],[Age]]&lt;44,"35-44","45+")))</f>
        <v>45+</v>
      </c>
      <c r="P28" t="str">
        <f>IF(HR_Attrition_Data[[#This Row],[Salary]]&lt;=50000,"Low",IF(HR_Attrition_Data[[#This Row],[Salary]]&lt;=100000,"Medium","High"))</f>
        <v>Medium</v>
      </c>
    </row>
    <row r="29" spans="1:16" x14ac:dyDescent="0.3">
      <c r="A29" s="1" t="s">
        <v>39</v>
      </c>
      <c r="B29" s="1" t="s">
        <v>139</v>
      </c>
      <c r="C29" s="3">
        <v>40</v>
      </c>
      <c r="D29" s="1" t="s">
        <v>213</v>
      </c>
      <c r="E29" s="1" t="s">
        <v>219</v>
      </c>
      <c r="F29" s="1" t="s">
        <v>232</v>
      </c>
      <c r="G29" s="1" t="s">
        <v>234</v>
      </c>
      <c r="H29" s="1" t="s">
        <v>214</v>
      </c>
      <c r="I29" s="1" t="s">
        <v>239</v>
      </c>
      <c r="J29" s="2">
        <v>17752</v>
      </c>
      <c r="K29" s="1" t="s">
        <v>241</v>
      </c>
      <c r="L29" s="10">
        <f>IF(HR_Attrition_Data[[#This Row],[Job Satisfaction]]="Low",1,IF(HR_Attrition_Data[[#This Row],[Job Satisfaction]]="Medium",2,3))</f>
        <v>1</v>
      </c>
      <c r="M29" s="1" t="s">
        <v>244</v>
      </c>
      <c r="N29" s="1">
        <f>IF(HR_Attrition_Data[[#This Row],[Attrition]]="Yes",1,0)</f>
        <v>1</v>
      </c>
      <c r="O29" s="1" t="str">
        <f>IF(HR_Attrition_Data[[#This Row],[Age]]&lt;25,"&lt;25",IF(HR_Attrition_Data[[#This Row],[Age]]&lt;=34,"25-34",IF(HR_Attrition_Data[[#This Row],[Age]]&lt;44,"35-44","45+")))</f>
        <v>35-44</v>
      </c>
      <c r="P29" t="str">
        <f>IF(HR_Attrition_Data[[#This Row],[Salary]]&lt;=50000,"Low",IF(HR_Attrition_Data[[#This Row],[Salary]]&lt;=100000,"Medium","High"))</f>
        <v>Low</v>
      </c>
    </row>
    <row r="30" spans="1:16" x14ac:dyDescent="0.3">
      <c r="A30" s="1" t="s">
        <v>40</v>
      </c>
      <c r="B30" s="1" t="s">
        <v>140</v>
      </c>
      <c r="C30" s="3">
        <v>47</v>
      </c>
      <c r="D30" s="1" t="s">
        <v>213</v>
      </c>
      <c r="E30" s="1" t="s">
        <v>216</v>
      </c>
      <c r="F30" s="1" t="s">
        <v>222</v>
      </c>
      <c r="G30" s="1" t="s">
        <v>234</v>
      </c>
      <c r="H30" s="1" t="s">
        <v>215</v>
      </c>
      <c r="I30" s="1" t="s">
        <v>237</v>
      </c>
      <c r="J30" s="2">
        <v>24471</v>
      </c>
      <c r="K30" s="1" t="s">
        <v>242</v>
      </c>
      <c r="L30" s="10">
        <f>IF(HR_Attrition_Data[[#This Row],[Job Satisfaction]]="Low",1,IF(HR_Attrition_Data[[#This Row],[Job Satisfaction]]="Medium",2,3))</f>
        <v>3</v>
      </c>
      <c r="M30" s="1" t="s">
        <v>244</v>
      </c>
      <c r="N30" s="1">
        <f>IF(HR_Attrition_Data[[#This Row],[Attrition]]="Yes",1,0)</f>
        <v>1</v>
      </c>
      <c r="O30" s="1" t="str">
        <f>IF(HR_Attrition_Data[[#This Row],[Age]]&lt;25,"&lt;25",IF(HR_Attrition_Data[[#This Row],[Age]]&lt;=34,"25-34",IF(HR_Attrition_Data[[#This Row],[Age]]&lt;44,"35-44","45+")))</f>
        <v>45+</v>
      </c>
      <c r="P30" t="str">
        <f>IF(HR_Attrition_Data[[#This Row],[Salary]]&lt;=50000,"Low",IF(HR_Attrition_Data[[#This Row],[Salary]]&lt;=100000,"Medium","High"))</f>
        <v>Low</v>
      </c>
    </row>
    <row r="31" spans="1:16" x14ac:dyDescent="0.3">
      <c r="A31" s="1" t="s">
        <v>41</v>
      </c>
      <c r="B31" s="1" t="s">
        <v>141</v>
      </c>
      <c r="C31" s="3">
        <v>35</v>
      </c>
      <c r="D31" s="1" t="s">
        <v>212</v>
      </c>
      <c r="E31" s="1" t="s">
        <v>214</v>
      </c>
      <c r="F31" s="1" t="s">
        <v>225</v>
      </c>
      <c r="G31" s="1" t="s">
        <v>234</v>
      </c>
      <c r="H31" s="1" t="s">
        <v>214</v>
      </c>
      <c r="I31" s="1" t="s">
        <v>238</v>
      </c>
      <c r="J31" s="2">
        <v>126012</v>
      </c>
      <c r="K31" s="1" t="s">
        <v>242</v>
      </c>
      <c r="L31" s="10">
        <f>IF(HR_Attrition_Data[[#This Row],[Job Satisfaction]]="Low",1,IF(HR_Attrition_Data[[#This Row],[Job Satisfaction]]="Medium",2,3))</f>
        <v>3</v>
      </c>
      <c r="M31" s="1" t="s">
        <v>243</v>
      </c>
      <c r="N31" s="1">
        <f>IF(HR_Attrition_Data[[#This Row],[Attrition]]="Yes",1,0)</f>
        <v>0</v>
      </c>
      <c r="O31" s="1" t="str">
        <f>IF(HR_Attrition_Data[[#This Row],[Age]]&lt;25,"&lt;25",IF(HR_Attrition_Data[[#This Row],[Age]]&lt;=34,"25-34",IF(HR_Attrition_Data[[#This Row],[Age]]&lt;44,"35-44","45+")))</f>
        <v>35-44</v>
      </c>
      <c r="P31" t="str">
        <f>IF(HR_Attrition_Data[[#This Row],[Salary]]&lt;=50000,"Low",IF(HR_Attrition_Data[[#This Row],[Salary]]&lt;=100000,"Medium","High"))</f>
        <v>High</v>
      </c>
    </row>
    <row r="32" spans="1:16" x14ac:dyDescent="0.3">
      <c r="A32" s="1" t="s">
        <v>42</v>
      </c>
      <c r="B32" s="1" t="s">
        <v>142</v>
      </c>
      <c r="C32" s="3">
        <v>29</v>
      </c>
      <c r="D32" s="1" t="s">
        <v>212</v>
      </c>
      <c r="E32" s="1" t="s">
        <v>218</v>
      </c>
      <c r="F32" s="1" t="s">
        <v>230</v>
      </c>
      <c r="G32" s="1" t="s">
        <v>234</v>
      </c>
      <c r="H32" s="1" t="s">
        <v>219</v>
      </c>
      <c r="I32" s="1" t="s">
        <v>237</v>
      </c>
      <c r="J32" s="2">
        <v>53131</v>
      </c>
      <c r="K32" s="1" t="s">
        <v>240</v>
      </c>
      <c r="L32" s="10">
        <f>IF(HR_Attrition_Data[[#This Row],[Job Satisfaction]]="Low",1,IF(HR_Attrition_Data[[#This Row],[Job Satisfaction]]="Medium",2,3))</f>
        <v>2</v>
      </c>
      <c r="M32" s="1" t="s">
        <v>244</v>
      </c>
      <c r="N32" s="1">
        <f>IF(HR_Attrition_Data[[#This Row],[Attrition]]="Yes",1,0)</f>
        <v>1</v>
      </c>
      <c r="O32" s="1" t="str">
        <f>IF(HR_Attrition_Data[[#This Row],[Age]]&lt;25,"&lt;25",IF(HR_Attrition_Data[[#This Row],[Age]]&lt;=34,"25-34",IF(HR_Attrition_Data[[#This Row],[Age]]&lt;44,"35-44","45+")))</f>
        <v>25-34</v>
      </c>
      <c r="P32" t="str">
        <f>IF(HR_Attrition_Data[[#This Row],[Salary]]&lt;=50000,"Low",IF(HR_Attrition_Data[[#This Row],[Salary]]&lt;=100000,"Medium","High"))</f>
        <v>Medium</v>
      </c>
    </row>
    <row r="33" spans="1:16" x14ac:dyDescent="0.3">
      <c r="A33" s="1" t="s">
        <v>43</v>
      </c>
      <c r="B33" s="1" t="s">
        <v>143</v>
      </c>
      <c r="C33" s="3">
        <v>50</v>
      </c>
      <c r="D33" s="1" t="s">
        <v>213</v>
      </c>
      <c r="E33" s="1" t="s">
        <v>216</v>
      </c>
      <c r="F33" s="1" t="s">
        <v>227</v>
      </c>
      <c r="G33" s="1" t="s">
        <v>233</v>
      </c>
      <c r="H33" s="1" t="s">
        <v>214</v>
      </c>
      <c r="I33" s="1" t="s">
        <v>239</v>
      </c>
      <c r="J33" s="2">
        <v>94590</v>
      </c>
      <c r="K33" s="1" t="s">
        <v>242</v>
      </c>
      <c r="L33" s="10">
        <f>IF(HR_Attrition_Data[[#This Row],[Job Satisfaction]]="Low",1,IF(HR_Attrition_Data[[#This Row],[Job Satisfaction]]="Medium",2,3))</f>
        <v>3</v>
      </c>
      <c r="M33" s="1" t="s">
        <v>243</v>
      </c>
      <c r="N33" s="1">
        <f>IF(HR_Attrition_Data[[#This Row],[Attrition]]="Yes",1,0)</f>
        <v>0</v>
      </c>
      <c r="O33" s="1" t="str">
        <f>IF(HR_Attrition_Data[[#This Row],[Age]]&lt;25,"&lt;25",IF(HR_Attrition_Data[[#This Row],[Age]]&lt;=34,"25-34",IF(HR_Attrition_Data[[#This Row],[Age]]&lt;44,"35-44","45+")))</f>
        <v>45+</v>
      </c>
      <c r="P33" t="str">
        <f>IF(HR_Attrition_Data[[#This Row],[Salary]]&lt;=50000,"Low",IF(HR_Attrition_Data[[#This Row],[Salary]]&lt;=100000,"Medium","High"))</f>
        <v>Medium</v>
      </c>
    </row>
    <row r="34" spans="1:16" x14ac:dyDescent="0.3">
      <c r="A34" s="1" t="s">
        <v>44</v>
      </c>
      <c r="B34" s="1" t="s">
        <v>144</v>
      </c>
      <c r="C34" s="3">
        <v>30</v>
      </c>
      <c r="D34" s="1" t="s">
        <v>213</v>
      </c>
      <c r="E34" s="1" t="s">
        <v>217</v>
      </c>
      <c r="F34" s="1" t="s">
        <v>223</v>
      </c>
      <c r="G34" s="1" t="s">
        <v>235</v>
      </c>
      <c r="H34" s="1" t="s">
        <v>214</v>
      </c>
      <c r="I34" s="1" t="s">
        <v>237</v>
      </c>
      <c r="J34" s="2">
        <v>122003</v>
      </c>
      <c r="K34" s="1" t="s">
        <v>242</v>
      </c>
      <c r="L34" s="10">
        <f>IF(HR_Attrition_Data[[#This Row],[Job Satisfaction]]="Low",1,IF(HR_Attrition_Data[[#This Row],[Job Satisfaction]]="Medium",2,3))</f>
        <v>3</v>
      </c>
      <c r="M34" s="1" t="s">
        <v>243</v>
      </c>
      <c r="N34" s="1">
        <f>IF(HR_Attrition_Data[[#This Row],[Attrition]]="Yes",1,0)</f>
        <v>0</v>
      </c>
      <c r="O34" s="1" t="str">
        <f>IF(HR_Attrition_Data[[#This Row],[Age]]&lt;25,"&lt;25",IF(HR_Attrition_Data[[#This Row],[Age]]&lt;=34,"25-34",IF(HR_Attrition_Data[[#This Row],[Age]]&lt;44,"35-44","45+")))</f>
        <v>25-34</v>
      </c>
      <c r="P34" t="str">
        <f>IF(HR_Attrition_Data[[#This Row],[Salary]]&lt;=50000,"Low",IF(HR_Attrition_Data[[#This Row],[Salary]]&lt;=100000,"Medium","High"))</f>
        <v>High</v>
      </c>
    </row>
    <row r="35" spans="1:16" x14ac:dyDescent="0.3">
      <c r="A35" s="1" t="s">
        <v>45</v>
      </c>
      <c r="B35" s="1" t="s">
        <v>145</v>
      </c>
      <c r="C35" s="3">
        <v>47</v>
      </c>
      <c r="D35" s="1" t="s">
        <v>212</v>
      </c>
      <c r="E35" s="1" t="s">
        <v>217</v>
      </c>
      <c r="F35" s="1" t="s">
        <v>223</v>
      </c>
      <c r="G35" s="1" t="s">
        <v>235</v>
      </c>
      <c r="H35" s="1" t="s">
        <v>219</v>
      </c>
      <c r="I35" s="1" t="s">
        <v>238</v>
      </c>
      <c r="J35" s="2">
        <v>18931</v>
      </c>
      <c r="K35" s="1" t="s">
        <v>240</v>
      </c>
      <c r="L35" s="10">
        <f>IF(HR_Attrition_Data[[#This Row],[Job Satisfaction]]="Low",1,IF(HR_Attrition_Data[[#This Row],[Job Satisfaction]]="Medium",2,3))</f>
        <v>2</v>
      </c>
      <c r="M35" s="1" t="s">
        <v>244</v>
      </c>
      <c r="N35" s="1">
        <f>IF(HR_Attrition_Data[[#This Row],[Attrition]]="Yes",1,0)</f>
        <v>1</v>
      </c>
      <c r="O35" s="1" t="str">
        <f>IF(HR_Attrition_Data[[#This Row],[Age]]&lt;25,"&lt;25",IF(HR_Attrition_Data[[#This Row],[Age]]&lt;=34,"25-34",IF(HR_Attrition_Data[[#This Row],[Age]]&lt;44,"35-44","45+")))</f>
        <v>45+</v>
      </c>
      <c r="P35" t="str">
        <f>IF(HR_Attrition_Data[[#This Row],[Salary]]&lt;=50000,"Low",IF(HR_Attrition_Data[[#This Row],[Salary]]&lt;=100000,"Medium","High"))</f>
        <v>Low</v>
      </c>
    </row>
    <row r="36" spans="1:16" x14ac:dyDescent="0.3">
      <c r="A36" s="1" t="s">
        <v>46</v>
      </c>
      <c r="B36" s="1" t="s">
        <v>146</v>
      </c>
      <c r="C36" s="3">
        <v>45</v>
      </c>
      <c r="D36" s="1" t="s">
        <v>212</v>
      </c>
      <c r="E36" s="1" t="s">
        <v>219</v>
      </c>
      <c r="F36" s="1" t="s">
        <v>232</v>
      </c>
      <c r="G36" s="1" t="s">
        <v>235</v>
      </c>
      <c r="H36" s="1" t="s">
        <v>215</v>
      </c>
      <c r="I36" s="1" t="s">
        <v>237</v>
      </c>
      <c r="J36" s="2">
        <v>75027</v>
      </c>
      <c r="K36" s="1" t="s">
        <v>242</v>
      </c>
      <c r="L36" s="10">
        <f>IF(HR_Attrition_Data[[#This Row],[Job Satisfaction]]="Low",1,IF(HR_Attrition_Data[[#This Row],[Job Satisfaction]]="Medium",2,3))</f>
        <v>3</v>
      </c>
      <c r="M36" s="1" t="s">
        <v>244</v>
      </c>
      <c r="N36" s="1">
        <f>IF(HR_Attrition_Data[[#This Row],[Attrition]]="Yes",1,0)</f>
        <v>1</v>
      </c>
      <c r="O36" s="1" t="str">
        <f>IF(HR_Attrition_Data[[#This Row],[Age]]&lt;25,"&lt;25",IF(HR_Attrition_Data[[#This Row],[Age]]&lt;=34,"25-34",IF(HR_Attrition_Data[[#This Row],[Age]]&lt;44,"35-44","45+")))</f>
        <v>45+</v>
      </c>
      <c r="P36" t="str">
        <f>IF(HR_Attrition_Data[[#This Row],[Salary]]&lt;=50000,"Low",IF(HR_Attrition_Data[[#This Row],[Salary]]&lt;=100000,"Medium","High"))</f>
        <v>Medium</v>
      </c>
    </row>
    <row r="37" spans="1:16" x14ac:dyDescent="0.3">
      <c r="A37" s="1" t="s">
        <v>47</v>
      </c>
      <c r="B37" s="1" t="s">
        <v>147</v>
      </c>
      <c r="C37" s="3">
        <v>49</v>
      </c>
      <c r="D37" s="1" t="s">
        <v>213</v>
      </c>
      <c r="E37" s="1" t="s">
        <v>216</v>
      </c>
      <c r="F37" s="1" t="s">
        <v>227</v>
      </c>
      <c r="G37" s="1" t="s">
        <v>234</v>
      </c>
      <c r="H37" s="1" t="s">
        <v>236</v>
      </c>
      <c r="I37" s="1" t="s">
        <v>239</v>
      </c>
      <c r="J37" s="2">
        <v>106260</v>
      </c>
      <c r="K37" s="1" t="s">
        <v>242</v>
      </c>
      <c r="L37" s="10">
        <f>IF(HR_Attrition_Data[[#This Row],[Job Satisfaction]]="Low",1,IF(HR_Attrition_Data[[#This Row],[Job Satisfaction]]="Medium",2,3))</f>
        <v>3</v>
      </c>
      <c r="M37" s="1" t="s">
        <v>243</v>
      </c>
      <c r="N37" s="1">
        <f>IF(HR_Attrition_Data[[#This Row],[Attrition]]="Yes",1,0)</f>
        <v>0</v>
      </c>
      <c r="O37" s="1" t="str">
        <f>IF(HR_Attrition_Data[[#This Row],[Age]]&lt;25,"&lt;25",IF(HR_Attrition_Data[[#This Row],[Age]]&lt;=34,"25-34",IF(HR_Attrition_Data[[#This Row],[Age]]&lt;44,"35-44","45+")))</f>
        <v>45+</v>
      </c>
      <c r="P37" t="str">
        <f>IF(HR_Attrition_Data[[#This Row],[Salary]]&lt;=50000,"Low",IF(HR_Attrition_Data[[#This Row],[Salary]]&lt;=100000,"Medium","High"))</f>
        <v>High</v>
      </c>
    </row>
    <row r="38" spans="1:16" x14ac:dyDescent="0.3">
      <c r="A38" s="1" t="s">
        <v>48</v>
      </c>
      <c r="B38" s="1" t="s">
        <v>148</v>
      </c>
      <c r="C38" s="3">
        <v>56</v>
      </c>
      <c r="D38" s="1" t="s">
        <v>212</v>
      </c>
      <c r="E38" s="1" t="s">
        <v>215</v>
      </c>
      <c r="F38" s="1" t="s">
        <v>229</v>
      </c>
      <c r="G38" s="1" t="s">
        <v>234</v>
      </c>
      <c r="H38" s="1" t="s">
        <v>215</v>
      </c>
      <c r="I38" s="1" t="s">
        <v>239</v>
      </c>
      <c r="J38" s="2">
        <v>30505</v>
      </c>
      <c r="K38" s="1" t="s">
        <v>240</v>
      </c>
      <c r="L38" s="10">
        <f>IF(HR_Attrition_Data[[#This Row],[Job Satisfaction]]="Low",1,IF(HR_Attrition_Data[[#This Row],[Job Satisfaction]]="Medium",2,3))</f>
        <v>2</v>
      </c>
      <c r="M38" s="1" t="s">
        <v>243</v>
      </c>
      <c r="N38" s="1">
        <f>IF(HR_Attrition_Data[[#This Row],[Attrition]]="Yes",1,0)</f>
        <v>0</v>
      </c>
      <c r="O38" s="1" t="str">
        <f>IF(HR_Attrition_Data[[#This Row],[Age]]&lt;25,"&lt;25",IF(HR_Attrition_Data[[#This Row],[Age]]&lt;=34,"25-34",IF(HR_Attrition_Data[[#This Row],[Age]]&lt;44,"35-44","45+")))</f>
        <v>45+</v>
      </c>
      <c r="P38" t="str">
        <f>IF(HR_Attrition_Data[[#This Row],[Salary]]&lt;=50000,"Low",IF(HR_Attrition_Data[[#This Row],[Salary]]&lt;=100000,"Medium","High"))</f>
        <v>Low</v>
      </c>
    </row>
    <row r="39" spans="1:16" x14ac:dyDescent="0.3">
      <c r="A39" s="1" t="s">
        <v>49</v>
      </c>
      <c r="B39" s="1" t="s">
        <v>149</v>
      </c>
      <c r="C39" s="3">
        <v>37</v>
      </c>
      <c r="D39" s="1" t="s">
        <v>213</v>
      </c>
      <c r="E39" s="1" t="s">
        <v>216</v>
      </c>
      <c r="F39" s="1" t="s">
        <v>227</v>
      </c>
      <c r="G39" s="1" t="s">
        <v>235</v>
      </c>
      <c r="H39" s="1" t="s">
        <v>236</v>
      </c>
      <c r="I39" s="1" t="s">
        <v>239</v>
      </c>
      <c r="J39" s="2">
        <v>10891</v>
      </c>
      <c r="K39" s="1" t="s">
        <v>241</v>
      </c>
      <c r="L39" s="10">
        <f>IF(HR_Attrition_Data[[#This Row],[Job Satisfaction]]="Low",1,IF(HR_Attrition_Data[[#This Row],[Job Satisfaction]]="Medium",2,3))</f>
        <v>1</v>
      </c>
      <c r="M39" s="1" t="s">
        <v>244</v>
      </c>
      <c r="N39" s="1">
        <f>IF(HR_Attrition_Data[[#This Row],[Attrition]]="Yes",1,0)</f>
        <v>1</v>
      </c>
      <c r="O39" s="1" t="str">
        <f>IF(HR_Attrition_Data[[#This Row],[Age]]&lt;25,"&lt;25",IF(HR_Attrition_Data[[#This Row],[Age]]&lt;=34,"25-34",IF(HR_Attrition_Data[[#This Row],[Age]]&lt;44,"35-44","45+")))</f>
        <v>35-44</v>
      </c>
      <c r="P39" t="str">
        <f>IF(HR_Attrition_Data[[#This Row],[Salary]]&lt;=50000,"Low",IF(HR_Attrition_Data[[#This Row],[Salary]]&lt;=100000,"Medium","High"))</f>
        <v>Low</v>
      </c>
    </row>
    <row r="40" spans="1:16" x14ac:dyDescent="0.3">
      <c r="A40" s="1" t="s">
        <v>50</v>
      </c>
      <c r="B40" s="1" t="s">
        <v>150</v>
      </c>
      <c r="C40" s="3">
        <v>56</v>
      </c>
      <c r="D40" s="1" t="s">
        <v>213</v>
      </c>
      <c r="E40" s="1" t="s">
        <v>215</v>
      </c>
      <c r="F40" s="1" t="s">
        <v>224</v>
      </c>
      <c r="G40" s="1" t="s">
        <v>235</v>
      </c>
      <c r="H40" s="1" t="s">
        <v>219</v>
      </c>
      <c r="I40" s="1" t="s">
        <v>238</v>
      </c>
      <c r="J40" s="2">
        <v>51195</v>
      </c>
      <c r="K40" s="1" t="s">
        <v>240</v>
      </c>
      <c r="L40" s="10">
        <f>IF(HR_Attrition_Data[[#This Row],[Job Satisfaction]]="Low",1,IF(HR_Attrition_Data[[#This Row],[Job Satisfaction]]="Medium",2,3))</f>
        <v>2</v>
      </c>
      <c r="M40" s="1" t="s">
        <v>244</v>
      </c>
      <c r="N40" s="1">
        <f>IF(HR_Attrition_Data[[#This Row],[Attrition]]="Yes",1,0)</f>
        <v>1</v>
      </c>
      <c r="O40" s="1" t="str">
        <f>IF(HR_Attrition_Data[[#This Row],[Age]]&lt;25,"&lt;25",IF(HR_Attrition_Data[[#This Row],[Age]]&lt;=34,"25-34",IF(HR_Attrition_Data[[#This Row],[Age]]&lt;44,"35-44","45+")))</f>
        <v>45+</v>
      </c>
      <c r="P40" t="str">
        <f>IF(HR_Attrition_Data[[#This Row],[Salary]]&lt;=50000,"Low",IF(HR_Attrition_Data[[#This Row],[Salary]]&lt;=100000,"Medium","High"))</f>
        <v>Medium</v>
      </c>
    </row>
    <row r="41" spans="1:16" x14ac:dyDescent="0.3">
      <c r="A41" s="1" t="s">
        <v>51</v>
      </c>
      <c r="B41" s="1" t="s">
        <v>151</v>
      </c>
      <c r="C41" s="3">
        <v>31</v>
      </c>
      <c r="D41" s="1" t="s">
        <v>212</v>
      </c>
      <c r="E41" s="1" t="s">
        <v>219</v>
      </c>
      <c r="F41" s="1" t="s">
        <v>231</v>
      </c>
      <c r="G41" s="1" t="s">
        <v>234</v>
      </c>
      <c r="H41" s="1" t="s">
        <v>216</v>
      </c>
      <c r="I41" s="1" t="s">
        <v>237</v>
      </c>
      <c r="J41" s="2">
        <v>91244</v>
      </c>
      <c r="K41" s="1" t="s">
        <v>240</v>
      </c>
      <c r="L41" s="10">
        <f>IF(HR_Attrition_Data[[#This Row],[Job Satisfaction]]="Low",1,IF(HR_Attrition_Data[[#This Row],[Job Satisfaction]]="Medium",2,3))</f>
        <v>2</v>
      </c>
      <c r="M41" s="1" t="s">
        <v>244</v>
      </c>
      <c r="N41" s="1">
        <f>IF(HR_Attrition_Data[[#This Row],[Attrition]]="Yes",1,0)</f>
        <v>1</v>
      </c>
      <c r="O41" s="1" t="str">
        <f>IF(HR_Attrition_Data[[#This Row],[Age]]&lt;25,"&lt;25",IF(HR_Attrition_Data[[#This Row],[Age]]&lt;=34,"25-34",IF(HR_Attrition_Data[[#This Row],[Age]]&lt;44,"35-44","45+")))</f>
        <v>25-34</v>
      </c>
      <c r="P41" t="str">
        <f>IF(HR_Attrition_Data[[#This Row],[Salary]]&lt;=50000,"Low",IF(HR_Attrition_Data[[#This Row],[Salary]]&lt;=100000,"Medium","High"))</f>
        <v>Medium</v>
      </c>
    </row>
    <row r="42" spans="1:16" x14ac:dyDescent="0.3">
      <c r="A42" s="1" t="s">
        <v>52</v>
      </c>
      <c r="B42" s="1" t="s">
        <v>152</v>
      </c>
      <c r="C42" s="3">
        <v>21</v>
      </c>
      <c r="D42" s="1" t="s">
        <v>213</v>
      </c>
      <c r="E42" s="1" t="s">
        <v>214</v>
      </c>
      <c r="F42" s="1" t="s">
        <v>220</v>
      </c>
      <c r="G42" s="1" t="s">
        <v>233</v>
      </c>
      <c r="H42" s="1" t="s">
        <v>236</v>
      </c>
      <c r="I42" s="1" t="s">
        <v>239</v>
      </c>
      <c r="J42" s="2">
        <v>10298</v>
      </c>
      <c r="K42" s="1" t="s">
        <v>242</v>
      </c>
      <c r="L42" s="10">
        <f>IF(HR_Attrition_Data[[#This Row],[Job Satisfaction]]="Low",1,IF(HR_Attrition_Data[[#This Row],[Job Satisfaction]]="Medium",2,3))</f>
        <v>3</v>
      </c>
      <c r="M42" s="1" t="s">
        <v>243</v>
      </c>
      <c r="N42" s="1">
        <f>IF(HR_Attrition_Data[[#This Row],[Attrition]]="Yes",1,0)</f>
        <v>0</v>
      </c>
      <c r="O42" s="1" t="str">
        <f>IF(HR_Attrition_Data[[#This Row],[Age]]&lt;25,"&lt;25",IF(HR_Attrition_Data[[#This Row],[Age]]&lt;=34,"25-34",IF(HR_Attrition_Data[[#This Row],[Age]]&lt;44,"35-44","45+")))</f>
        <v>&lt;25</v>
      </c>
      <c r="P42" t="str">
        <f>IF(HR_Attrition_Data[[#This Row],[Salary]]&lt;=50000,"Low",IF(HR_Attrition_Data[[#This Row],[Salary]]&lt;=100000,"Medium","High"))</f>
        <v>Low</v>
      </c>
    </row>
    <row r="43" spans="1:16" x14ac:dyDescent="0.3">
      <c r="A43" s="1" t="s">
        <v>53</v>
      </c>
      <c r="B43" s="1" t="s">
        <v>153</v>
      </c>
      <c r="C43" s="3">
        <v>37</v>
      </c>
      <c r="D43" s="1" t="s">
        <v>213</v>
      </c>
      <c r="E43" s="1" t="s">
        <v>217</v>
      </c>
      <c r="F43" s="1" t="s">
        <v>223</v>
      </c>
      <c r="G43" s="1" t="s">
        <v>235</v>
      </c>
      <c r="H43" s="1" t="s">
        <v>236</v>
      </c>
      <c r="I43" s="1" t="s">
        <v>237</v>
      </c>
      <c r="J43" s="2">
        <v>93017</v>
      </c>
      <c r="K43" s="1" t="s">
        <v>242</v>
      </c>
      <c r="L43" s="10">
        <f>IF(HR_Attrition_Data[[#This Row],[Job Satisfaction]]="Low",1,IF(HR_Attrition_Data[[#This Row],[Job Satisfaction]]="Medium",2,3))</f>
        <v>3</v>
      </c>
      <c r="M43" s="1" t="s">
        <v>243</v>
      </c>
      <c r="N43" s="1">
        <f>IF(HR_Attrition_Data[[#This Row],[Attrition]]="Yes",1,0)</f>
        <v>0</v>
      </c>
      <c r="O43" s="1" t="str">
        <f>IF(HR_Attrition_Data[[#This Row],[Age]]&lt;25,"&lt;25",IF(HR_Attrition_Data[[#This Row],[Age]]&lt;=34,"25-34",IF(HR_Attrition_Data[[#This Row],[Age]]&lt;44,"35-44","45+")))</f>
        <v>35-44</v>
      </c>
      <c r="P43" t="str">
        <f>IF(HR_Attrition_Data[[#This Row],[Salary]]&lt;=50000,"Low",IF(HR_Attrition_Data[[#This Row],[Salary]]&lt;=100000,"Medium","High"))</f>
        <v>Medium</v>
      </c>
    </row>
    <row r="44" spans="1:16" x14ac:dyDescent="0.3">
      <c r="A44" s="1" t="s">
        <v>54</v>
      </c>
      <c r="B44" s="1" t="s">
        <v>154</v>
      </c>
      <c r="C44" s="3">
        <v>48</v>
      </c>
      <c r="D44" s="1" t="s">
        <v>213</v>
      </c>
      <c r="E44" s="1" t="s">
        <v>217</v>
      </c>
      <c r="F44" s="1" t="s">
        <v>223</v>
      </c>
      <c r="G44" s="1" t="s">
        <v>234</v>
      </c>
      <c r="H44" s="1" t="s">
        <v>215</v>
      </c>
      <c r="I44" s="1" t="s">
        <v>238</v>
      </c>
      <c r="J44" s="2">
        <v>61993</v>
      </c>
      <c r="K44" s="1" t="s">
        <v>240</v>
      </c>
      <c r="L44" s="10">
        <f>IF(HR_Attrition_Data[[#This Row],[Job Satisfaction]]="Low",1,IF(HR_Attrition_Data[[#This Row],[Job Satisfaction]]="Medium",2,3))</f>
        <v>2</v>
      </c>
      <c r="M44" s="1" t="s">
        <v>244</v>
      </c>
      <c r="N44" s="1">
        <f>IF(HR_Attrition_Data[[#This Row],[Attrition]]="Yes",1,0)</f>
        <v>1</v>
      </c>
      <c r="O44" s="1" t="str">
        <f>IF(HR_Attrition_Data[[#This Row],[Age]]&lt;25,"&lt;25",IF(HR_Attrition_Data[[#This Row],[Age]]&lt;=34,"25-34",IF(HR_Attrition_Data[[#This Row],[Age]]&lt;44,"35-44","45+")))</f>
        <v>45+</v>
      </c>
      <c r="P44" t="str">
        <f>IF(HR_Attrition_Data[[#This Row],[Salary]]&lt;=50000,"Low",IF(HR_Attrition_Data[[#This Row],[Salary]]&lt;=100000,"Medium","High"))</f>
        <v>Medium</v>
      </c>
    </row>
    <row r="45" spans="1:16" x14ac:dyDescent="0.3">
      <c r="A45" s="1" t="s">
        <v>55</v>
      </c>
      <c r="B45" s="1" t="s">
        <v>155</v>
      </c>
      <c r="C45" s="3">
        <v>33</v>
      </c>
      <c r="D45" s="1" t="s">
        <v>213</v>
      </c>
      <c r="E45" s="1" t="s">
        <v>218</v>
      </c>
      <c r="F45" s="1" t="s">
        <v>230</v>
      </c>
      <c r="G45" s="1" t="s">
        <v>234</v>
      </c>
      <c r="H45" s="1" t="s">
        <v>215</v>
      </c>
      <c r="I45" s="1" t="s">
        <v>237</v>
      </c>
      <c r="J45" s="2">
        <v>125699</v>
      </c>
      <c r="K45" s="1" t="s">
        <v>242</v>
      </c>
      <c r="L45" s="10">
        <f>IF(HR_Attrition_Data[[#This Row],[Job Satisfaction]]="Low",1,IF(HR_Attrition_Data[[#This Row],[Job Satisfaction]]="Medium",2,3))</f>
        <v>3</v>
      </c>
      <c r="M45" s="1" t="s">
        <v>243</v>
      </c>
      <c r="N45" s="1">
        <f>IF(HR_Attrition_Data[[#This Row],[Attrition]]="Yes",1,0)</f>
        <v>0</v>
      </c>
      <c r="O45" s="1" t="str">
        <f>IF(HR_Attrition_Data[[#This Row],[Age]]&lt;25,"&lt;25",IF(HR_Attrition_Data[[#This Row],[Age]]&lt;=34,"25-34",IF(HR_Attrition_Data[[#This Row],[Age]]&lt;44,"35-44","45+")))</f>
        <v>25-34</v>
      </c>
      <c r="P45" t="str">
        <f>IF(HR_Attrition_Data[[#This Row],[Salary]]&lt;=50000,"Low",IF(HR_Attrition_Data[[#This Row],[Salary]]&lt;=100000,"Medium","High"))</f>
        <v>High</v>
      </c>
    </row>
    <row r="46" spans="1:16" x14ac:dyDescent="0.3">
      <c r="A46" s="1" t="s">
        <v>56</v>
      </c>
      <c r="B46" s="1" t="s">
        <v>156</v>
      </c>
      <c r="C46" s="3">
        <v>22</v>
      </c>
      <c r="D46" s="1" t="s">
        <v>213</v>
      </c>
      <c r="E46" s="1" t="s">
        <v>216</v>
      </c>
      <c r="F46" s="1" t="s">
        <v>227</v>
      </c>
      <c r="G46" s="1" t="s">
        <v>233</v>
      </c>
      <c r="H46" s="1" t="s">
        <v>214</v>
      </c>
      <c r="I46" s="1" t="s">
        <v>239</v>
      </c>
      <c r="J46" s="2">
        <v>62450</v>
      </c>
      <c r="K46" s="1" t="s">
        <v>240</v>
      </c>
      <c r="L46" s="10">
        <f>IF(HR_Attrition_Data[[#This Row],[Job Satisfaction]]="Low",1,IF(HR_Attrition_Data[[#This Row],[Job Satisfaction]]="Medium",2,3))</f>
        <v>2</v>
      </c>
      <c r="M46" s="1" t="s">
        <v>244</v>
      </c>
      <c r="N46" s="1">
        <f>IF(HR_Attrition_Data[[#This Row],[Attrition]]="Yes",1,0)</f>
        <v>1</v>
      </c>
      <c r="O46" s="1" t="str">
        <f>IF(HR_Attrition_Data[[#This Row],[Age]]&lt;25,"&lt;25",IF(HR_Attrition_Data[[#This Row],[Age]]&lt;=34,"25-34",IF(HR_Attrition_Data[[#This Row],[Age]]&lt;44,"35-44","45+")))</f>
        <v>&lt;25</v>
      </c>
      <c r="P46" t="str">
        <f>IF(HR_Attrition_Data[[#This Row],[Salary]]&lt;=50000,"Low",IF(HR_Attrition_Data[[#This Row],[Salary]]&lt;=100000,"Medium","High"))</f>
        <v>Medium</v>
      </c>
    </row>
    <row r="47" spans="1:16" x14ac:dyDescent="0.3">
      <c r="A47" s="1" t="s">
        <v>57</v>
      </c>
      <c r="B47" s="1" t="s">
        <v>157</v>
      </c>
      <c r="C47" s="3">
        <v>50</v>
      </c>
      <c r="D47" s="1" t="s">
        <v>213</v>
      </c>
      <c r="E47" s="1" t="s">
        <v>216</v>
      </c>
      <c r="F47" s="1" t="s">
        <v>227</v>
      </c>
      <c r="G47" s="1" t="s">
        <v>233</v>
      </c>
      <c r="H47" s="1" t="s">
        <v>219</v>
      </c>
      <c r="I47" s="1" t="s">
        <v>238</v>
      </c>
      <c r="J47" s="2">
        <v>116582</v>
      </c>
      <c r="K47" s="1" t="s">
        <v>242</v>
      </c>
      <c r="L47" s="10">
        <f>IF(HR_Attrition_Data[[#This Row],[Job Satisfaction]]="Low",1,IF(HR_Attrition_Data[[#This Row],[Job Satisfaction]]="Medium",2,3))</f>
        <v>3</v>
      </c>
      <c r="M47" s="1" t="s">
        <v>243</v>
      </c>
      <c r="N47" s="1">
        <f>IF(HR_Attrition_Data[[#This Row],[Attrition]]="Yes",1,0)</f>
        <v>0</v>
      </c>
      <c r="O47" s="1" t="str">
        <f>IF(HR_Attrition_Data[[#This Row],[Age]]&lt;25,"&lt;25",IF(HR_Attrition_Data[[#This Row],[Age]]&lt;=34,"25-34",IF(HR_Attrition_Data[[#This Row],[Age]]&lt;44,"35-44","45+")))</f>
        <v>45+</v>
      </c>
      <c r="P47" t="str">
        <f>IF(HR_Attrition_Data[[#This Row],[Salary]]&lt;=50000,"Low",IF(HR_Attrition_Data[[#This Row],[Salary]]&lt;=100000,"Medium","High"))</f>
        <v>High</v>
      </c>
    </row>
    <row r="48" spans="1:16" x14ac:dyDescent="0.3">
      <c r="A48" s="1" t="s">
        <v>58</v>
      </c>
      <c r="B48" s="1" t="s">
        <v>158</v>
      </c>
      <c r="C48" s="3">
        <v>47</v>
      </c>
      <c r="D48" s="1" t="s">
        <v>212</v>
      </c>
      <c r="E48" s="1" t="s">
        <v>214</v>
      </c>
      <c r="F48" s="1" t="s">
        <v>225</v>
      </c>
      <c r="G48" s="1" t="s">
        <v>234</v>
      </c>
      <c r="H48" s="1" t="s">
        <v>216</v>
      </c>
      <c r="I48" s="1" t="s">
        <v>237</v>
      </c>
      <c r="J48" s="2">
        <v>35125</v>
      </c>
      <c r="K48" s="1" t="s">
        <v>240</v>
      </c>
      <c r="L48" s="10">
        <f>IF(HR_Attrition_Data[[#This Row],[Job Satisfaction]]="Low",1,IF(HR_Attrition_Data[[#This Row],[Job Satisfaction]]="Medium",2,3))</f>
        <v>2</v>
      </c>
      <c r="M48" s="1" t="s">
        <v>244</v>
      </c>
      <c r="N48" s="1">
        <f>IF(HR_Attrition_Data[[#This Row],[Attrition]]="Yes",1,0)</f>
        <v>1</v>
      </c>
      <c r="O48" s="1" t="str">
        <f>IF(HR_Attrition_Data[[#This Row],[Age]]&lt;25,"&lt;25",IF(HR_Attrition_Data[[#This Row],[Age]]&lt;=34,"25-34",IF(HR_Attrition_Data[[#This Row],[Age]]&lt;44,"35-44","45+")))</f>
        <v>45+</v>
      </c>
      <c r="P48" t="str">
        <f>IF(HR_Attrition_Data[[#This Row],[Salary]]&lt;=50000,"Low",IF(HR_Attrition_Data[[#This Row],[Salary]]&lt;=100000,"Medium","High"))</f>
        <v>Low</v>
      </c>
    </row>
    <row r="49" spans="1:16" x14ac:dyDescent="0.3">
      <c r="A49" s="1" t="s">
        <v>59</v>
      </c>
      <c r="B49" s="1" t="s">
        <v>159</v>
      </c>
      <c r="C49" s="3">
        <v>24</v>
      </c>
      <c r="D49" s="1" t="s">
        <v>213</v>
      </c>
      <c r="E49" s="1" t="s">
        <v>216</v>
      </c>
      <c r="F49" s="1" t="s">
        <v>222</v>
      </c>
      <c r="G49" s="1" t="s">
        <v>234</v>
      </c>
      <c r="H49" s="1" t="s">
        <v>214</v>
      </c>
      <c r="I49" s="1" t="s">
        <v>237</v>
      </c>
      <c r="J49" s="2">
        <v>113982</v>
      </c>
      <c r="K49" s="1" t="s">
        <v>242</v>
      </c>
      <c r="L49" s="10">
        <f>IF(HR_Attrition_Data[[#This Row],[Job Satisfaction]]="Low",1,IF(HR_Attrition_Data[[#This Row],[Job Satisfaction]]="Medium",2,3))</f>
        <v>3</v>
      </c>
      <c r="M49" s="1" t="s">
        <v>243</v>
      </c>
      <c r="N49" s="1">
        <f>IF(HR_Attrition_Data[[#This Row],[Attrition]]="Yes",1,0)</f>
        <v>0</v>
      </c>
      <c r="O49" s="1" t="str">
        <f>IF(HR_Attrition_Data[[#This Row],[Age]]&lt;25,"&lt;25",IF(HR_Attrition_Data[[#This Row],[Age]]&lt;=34,"25-34",IF(HR_Attrition_Data[[#This Row],[Age]]&lt;44,"35-44","45+")))</f>
        <v>&lt;25</v>
      </c>
      <c r="P49" t="str">
        <f>IF(HR_Attrition_Data[[#This Row],[Salary]]&lt;=50000,"Low",IF(HR_Attrition_Data[[#This Row],[Salary]]&lt;=100000,"Medium","High"))</f>
        <v>High</v>
      </c>
    </row>
    <row r="50" spans="1:16" x14ac:dyDescent="0.3">
      <c r="A50" s="1" t="s">
        <v>60</v>
      </c>
      <c r="B50" s="1" t="s">
        <v>160</v>
      </c>
      <c r="C50" s="3">
        <v>51</v>
      </c>
      <c r="D50" s="1" t="s">
        <v>213</v>
      </c>
      <c r="E50" s="1" t="s">
        <v>218</v>
      </c>
      <c r="F50" s="1" t="s">
        <v>226</v>
      </c>
      <c r="G50" s="1" t="s">
        <v>234</v>
      </c>
      <c r="H50" s="1" t="s">
        <v>219</v>
      </c>
      <c r="I50" s="1" t="s">
        <v>237</v>
      </c>
      <c r="J50" s="2">
        <v>22249</v>
      </c>
      <c r="K50" s="1" t="s">
        <v>240</v>
      </c>
      <c r="L50" s="10">
        <f>IF(HR_Attrition_Data[[#This Row],[Job Satisfaction]]="Low",1,IF(HR_Attrition_Data[[#This Row],[Job Satisfaction]]="Medium",2,3))</f>
        <v>2</v>
      </c>
      <c r="M50" s="1" t="s">
        <v>244</v>
      </c>
      <c r="N50" s="1">
        <f>IF(HR_Attrition_Data[[#This Row],[Attrition]]="Yes",1,0)</f>
        <v>1</v>
      </c>
      <c r="O50" s="1" t="str">
        <f>IF(HR_Attrition_Data[[#This Row],[Age]]&lt;25,"&lt;25",IF(HR_Attrition_Data[[#This Row],[Age]]&lt;=34,"25-34",IF(HR_Attrition_Data[[#This Row],[Age]]&lt;44,"35-44","45+")))</f>
        <v>45+</v>
      </c>
      <c r="P50" t="str">
        <f>IF(HR_Attrition_Data[[#This Row],[Salary]]&lt;=50000,"Low",IF(HR_Attrition_Data[[#This Row],[Salary]]&lt;=100000,"Medium","High"))</f>
        <v>Low</v>
      </c>
    </row>
    <row r="51" spans="1:16" x14ac:dyDescent="0.3">
      <c r="A51" s="1" t="s">
        <v>61</v>
      </c>
      <c r="B51" s="1" t="s">
        <v>161</v>
      </c>
      <c r="C51" s="3">
        <v>37</v>
      </c>
      <c r="D51" s="1" t="s">
        <v>213</v>
      </c>
      <c r="E51" s="1" t="s">
        <v>218</v>
      </c>
      <c r="F51" s="1" t="s">
        <v>230</v>
      </c>
      <c r="G51" s="1" t="s">
        <v>234</v>
      </c>
      <c r="H51" s="1" t="s">
        <v>219</v>
      </c>
      <c r="I51" s="1" t="s">
        <v>239</v>
      </c>
      <c r="J51" s="2">
        <v>89735</v>
      </c>
      <c r="K51" s="1" t="s">
        <v>240</v>
      </c>
      <c r="L51" s="10">
        <f>IF(HR_Attrition_Data[[#This Row],[Job Satisfaction]]="Low",1,IF(HR_Attrition_Data[[#This Row],[Job Satisfaction]]="Medium",2,3))</f>
        <v>2</v>
      </c>
      <c r="M51" s="1" t="s">
        <v>244</v>
      </c>
      <c r="N51" s="1">
        <f>IF(HR_Attrition_Data[[#This Row],[Attrition]]="Yes",1,0)</f>
        <v>1</v>
      </c>
      <c r="O51" s="1" t="str">
        <f>IF(HR_Attrition_Data[[#This Row],[Age]]&lt;25,"&lt;25",IF(HR_Attrition_Data[[#This Row],[Age]]&lt;=34,"25-34",IF(HR_Attrition_Data[[#This Row],[Age]]&lt;44,"35-44","45+")))</f>
        <v>35-44</v>
      </c>
      <c r="P51" t="str">
        <f>IF(HR_Attrition_Data[[#This Row],[Salary]]&lt;=50000,"Low",IF(HR_Attrition_Data[[#This Row],[Salary]]&lt;=100000,"Medium","High"))</f>
        <v>Medium</v>
      </c>
    </row>
    <row r="52" spans="1:16" x14ac:dyDescent="0.3">
      <c r="A52" s="1" t="s">
        <v>62</v>
      </c>
      <c r="B52" s="1" t="s">
        <v>162</v>
      </c>
      <c r="C52" s="3">
        <v>55</v>
      </c>
      <c r="D52" s="1" t="s">
        <v>212</v>
      </c>
      <c r="E52" s="1" t="s">
        <v>215</v>
      </c>
      <c r="F52" s="1" t="s">
        <v>229</v>
      </c>
      <c r="G52" s="1" t="s">
        <v>233</v>
      </c>
      <c r="H52" s="1" t="s">
        <v>216</v>
      </c>
      <c r="I52" s="1" t="s">
        <v>238</v>
      </c>
      <c r="J52" s="2">
        <v>86113</v>
      </c>
      <c r="K52" s="1" t="s">
        <v>242</v>
      </c>
      <c r="L52" s="10">
        <f>IF(HR_Attrition_Data[[#This Row],[Job Satisfaction]]="Low",1,IF(HR_Attrition_Data[[#This Row],[Job Satisfaction]]="Medium",2,3))</f>
        <v>3</v>
      </c>
      <c r="M52" s="1" t="s">
        <v>243</v>
      </c>
      <c r="N52" s="1">
        <f>IF(HR_Attrition_Data[[#This Row],[Attrition]]="Yes",1,0)</f>
        <v>0</v>
      </c>
      <c r="O52" s="1" t="str">
        <f>IF(HR_Attrition_Data[[#This Row],[Age]]&lt;25,"&lt;25",IF(HR_Attrition_Data[[#This Row],[Age]]&lt;=34,"25-34",IF(HR_Attrition_Data[[#This Row],[Age]]&lt;44,"35-44","45+")))</f>
        <v>45+</v>
      </c>
      <c r="P52" t="str">
        <f>IF(HR_Attrition_Data[[#This Row],[Salary]]&lt;=50000,"Low",IF(HR_Attrition_Data[[#This Row],[Salary]]&lt;=100000,"Medium","High"))</f>
        <v>Medium</v>
      </c>
    </row>
    <row r="53" spans="1:16" x14ac:dyDescent="0.3">
      <c r="A53" s="1" t="s">
        <v>63</v>
      </c>
      <c r="B53" s="1" t="s">
        <v>163</v>
      </c>
      <c r="C53" s="3">
        <v>52</v>
      </c>
      <c r="D53" s="1" t="s">
        <v>213</v>
      </c>
      <c r="E53" s="1" t="s">
        <v>216</v>
      </c>
      <c r="F53" s="1" t="s">
        <v>222</v>
      </c>
      <c r="G53" s="1" t="s">
        <v>233</v>
      </c>
      <c r="H53" s="1" t="s">
        <v>219</v>
      </c>
      <c r="I53" s="1" t="s">
        <v>239</v>
      </c>
      <c r="J53" s="2">
        <v>133168</v>
      </c>
      <c r="K53" s="1" t="s">
        <v>240</v>
      </c>
      <c r="L53" s="10">
        <f>IF(HR_Attrition_Data[[#This Row],[Job Satisfaction]]="Low",1,IF(HR_Attrition_Data[[#This Row],[Job Satisfaction]]="Medium",2,3))</f>
        <v>2</v>
      </c>
      <c r="M53" s="1" t="s">
        <v>243</v>
      </c>
      <c r="N53" s="1">
        <f>IF(HR_Attrition_Data[[#This Row],[Attrition]]="Yes",1,0)</f>
        <v>0</v>
      </c>
      <c r="O53" s="1" t="str">
        <f>IF(HR_Attrition_Data[[#This Row],[Age]]&lt;25,"&lt;25",IF(HR_Attrition_Data[[#This Row],[Age]]&lt;=34,"25-34",IF(HR_Attrition_Data[[#This Row],[Age]]&lt;44,"35-44","45+")))</f>
        <v>45+</v>
      </c>
      <c r="P53" t="str">
        <f>IF(HR_Attrition_Data[[#This Row],[Salary]]&lt;=50000,"Low",IF(HR_Attrition_Data[[#This Row],[Salary]]&lt;=100000,"Medium","High"))</f>
        <v>High</v>
      </c>
    </row>
    <row r="54" spans="1:16" x14ac:dyDescent="0.3">
      <c r="A54" s="1" t="s">
        <v>64</v>
      </c>
      <c r="B54" s="1" t="s">
        <v>164</v>
      </c>
      <c r="C54" s="3">
        <v>58</v>
      </c>
      <c r="D54" s="1" t="s">
        <v>213</v>
      </c>
      <c r="E54" s="1" t="s">
        <v>219</v>
      </c>
      <c r="F54" s="1" t="s">
        <v>231</v>
      </c>
      <c r="G54" s="1" t="s">
        <v>233</v>
      </c>
      <c r="H54" s="1" t="s">
        <v>216</v>
      </c>
      <c r="I54" s="1" t="s">
        <v>237</v>
      </c>
      <c r="J54" s="2">
        <v>29117</v>
      </c>
      <c r="K54" s="1" t="s">
        <v>241</v>
      </c>
      <c r="L54" s="10">
        <f>IF(HR_Attrition_Data[[#This Row],[Job Satisfaction]]="Low",1,IF(HR_Attrition_Data[[#This Row],[Job Satisfaction]]="Medium",2,3))</f>
        <v>1</v>
      </c>
      <c r="M54" s="1" t="s">
        <v>244</v>
      </c>
      <c r="N54" s="1">
        <f>IF(HR_Attrition_Data[[#This Row],[Attrition]]="Yes",1,0)</f>
        <v>1</v>
      </c>
      <c r="O54" s="1" t="str">
        <f>IF(HR_Attrition_Data[[#This Row],[Age]]&lt;25,"&lt;25",IF(HR_Attrition_Data[[#This Row],[Age]]&lt;=34,"25-34",IF(HR_Attrition_Data[[#This Row],[Age]]&lt;44,"35-44","45+")))</f>
        <v>45+</v>
      </c>
      <c r="P54" t="str">
        <f>IF(HR_Attrition_Data[[#This Row],[Salary]]&lt;=50000,"Low",IF(HR_Attrition_Data[[#This Row],[Salary]]&lt;=100000,"Medium","High"))</f>
        <v>Low</v>
      </c>
    </row>
    <row r="55" spans="1:16" x14ac:dyDescent="0.3">
      <c r="A55" s="1" t="s">
        <v>65</v>
      </c>
      <c r="B55" s="1" t="s">
        <v>165</v>
      </c>
      <c r="C55" s="3">
        <v>27</v>
      </c>
      <c r="D55" s="1" t="s">
        <v>212</v>
      </c>
      <c r="E55" s="1" t="s">
        <v>218</v>
      </c>
      <c r="F55" s="1" t="s">
        <v>226</v>
      </c>
      <c r="G55" s="1" t="s">
        <v>233</v>
      </c>
      <c r="H55" s="1" t="s">
        <v>215</v>
      </c>
      <c r="I55" s="1" t="s">
        <v>237</v>
      </c>
      <c r="J55" s="2">
        <v>45320</v>
      </c>
      <c r="K55" s="1" t="s">
        <v>241</v>
      </c>
      <c r="L55" s="10">
        <f>IF(HR_Attrition_Data[[#This Row],[Job Satisfaction]]="Low",1,IF(HR_Attrition_Data[[#This Row],[Job Satisfaction]]="Medium",2,3))</f>
        <v>1</v>
      </c>
      <c r="M55" s="1" t="s">
        <v>244</v>
      </c>
      <c r="N55" s="1">
        <f>IF(HR_Attrition_Data[[#This Row],[Attrition]]="Yes",1,0)</f>
        <v>1</v>
      </c>
      <c r="O55" s="1" t="str">
        <f>IF(HR_Attrition_Data[[#This Row],[Age]]&lt;25,"&lt;25",IF(HR_Attrition_Data[[#This Row],[Age]]&lt;=34,"25-34",IF(HR_Attrition_Data[[#This Row],[Age]]&lt;44,"35-44","45+")))</f>
        <v>25-34</v>
      </c>
      <c r="P55" t="str">
        <f>IF(HR_Attrition_Data[[#This Row],[Salary]]&lt;=50000,"Low",IF(HR_Attrition_Data[[#This Row],[Salary]]&lt;=100000,"Medium","High"))</f>
        <v>Low</v>
      </c>
    </row>
    <row r="56" spans="1:16" x14ac:dyDescent="0.3">
      <c r="A56" s="1" t="s">
        <v>66</v>
      </c>
      <c r="B56" s="1" t="s">
        <v>166</v>
      </c>
      <c r="C56" s="3">
        <v>46</v>
      </c>
      <c r="D56" s="1" t="s">
        <v>212</v>
      </c>
      <c r="E56" s="1" t="s">
        <v>217</v>
      </c>
      <c r="F56" s="1" t="s">
        <v>223</v>
      </c>
      <c r="G56" s="1" t="s">
        <v>233</v>
      </c>
      <c r="H56" s="1" t="s">
        <v>216</v>
      </c>
      <c r="I56" s="1" t="s">
        <v>239</v>
      </c>
      <c r="J56" s="2">
        <v>118874</v>
      </c>
      <c r="K56" s="1" t="s">
        <v>242</v>
      </c>
      <c r="L56" s="10">
        <f>IF(HR_Attrition_Data[[#This Row],[Job Satisfaction]]="Low",1,IF(HR_Attrition_Data[[#This Row],[Job Satisfaction]]="Medium",2,3))</f>
        <v>3</v>
      </c>
      <c r="M56" s="1" t="s">
        <v>243</v>
      </c>
      <c r="N56" s="1">
        <f>IF(HR_Attrition_Data[[#This Row],[Attrition]]="Yes",1,0)</f>
        <v>0</v>
      </c>
      <c r="O56" s="1" t="str">
        <f>IF(HR_Attrition_Data[[#This Row],[Age]]&lt;25,"&lt;25",IF(HR_Attrition_Data[[#This Row],[Age]]&lt;=34,"25-34",IF(HR_Attrition_Data[[#This Row],[Age]]&lt;44,"35-44","45+")))</f>
        <v>45+</v>
      </c>
      <c r="P56" t="str">
        <f>IF(HR_Attrition_Data[[#This Row],[Salary]]&lt;=50000,"Low",IF(HR_Attrition_Data[[#This Row],[Salary]]&lt;=100000,"Medium","High"))</f>
        <v>High</v>
      </c>
    </row>
    <row r="57" spans="1:16" x14ac:dyDescent="0.3">
      <c r="A57" s="1" t="s">
        <v>67</v>
      </c>
      <c r="B57" s="1" t="s">
        <v>167</v>
      </c>
      <c r="C57" s="3">
        <v>50</v>
      </c>
      <c r="D57" s="1" t="s">
        <v>212</v>
      </c>
      <c r="E57" s="1" t="s">
        <v>217</v>
      </c>
      <c r="F57" s="1" t="s">
        <v>223</v>
      </c>
      <c r="G57" s="1" t="s">
        <v>233</v>
      </c>
      <c r="H57" s="1" t="s">
        <v>236</v>
      </c>
      <c r="I57" s="1" t="s">
        <v>237</v>
      </c>
      <c r="J57" s="2">
        <v>140920</v>
      </c>
      <c r="K57" s="1" t="s">
        <v>242</v>
      </c>
      <c r="L57" s="10">
        <f>IF(HR_Attrition_Data[[#This Row],[Job Satisfaction]]="Low",1,IF(HR_Attrition_Data[[#This Row],[Job Satisfaction]]="Medium",2,3))</f>
        <v>3</v>
      </c>
      <c r="M57" s="1" t="s">
        <v>243</v>
      </c>
      <c r="N57" s="1">
        <f>IF(HR_Attrition_Data[[#This Row],[Attrition]]="Yes",1,0)</f>
        <v>0</v>
      </c>
      <c r="O57" s="1" t="str">
        <f>IF(HR_Attrition_Data[[#This Row],[Age]]&lt;25,"&lt;25",IF(HR_Attrition_Data[[#This Row],[Age]]&lt;=34,"25-34",IF(HR_Attrition_Data[[#This Row],[Age]]&lt;44,"35-44","45+")))</f>
        <v>45+</v>
      </c>
      <c r="P57" t="str">
        <f>IF(HR_Attrition_Data[[#This Row],[Salary]]&lt;=50000,"Low",IF(HR_Attrition_Data[[#This Row],[Salary]]&lt;=100000,"Medium","High"))</f>
        <v>High</v>
      </c>
    </row>
    <row r="58" spans="1:16" x14ac:dyDescent="0.3">
      <c r="A58" s="1" t="s">
        <v>68</v>
      </c>
      <c r="B58" s="1" t="s">
        <v>168</v>
      </c>
      <c r="C58" s="3">
        <v>42</v>
      </c>
      <c r="D58" s="1" t="s">
        <v>212</v>
      </c>
      <c r="E58" s="1" t="s">
        <v>216</v>
      </c>
      <c r="F58" s="1" t="s">
        <v>227</v>
      </c>
      <c r="G58" s="1" t="s">
        <v>235</v>
      </c>
      <c r="H58" s="1" t="s">
        <v>214</v>
      </c>
      <c r="I58" s="1" t="s">
        <v>238</v>
      </c>
      <c r="J58" s="2">
        <v>11696</v>
      </c>
      <c r="K58" s="1" t="s">
        <v>241</v>
      </c>
      <c r="L58" s="10">
        <f>IF(HR_Attrition_Data[[#This Row],[Job Satisfaction]]="Low",1,IF(HR_Attrition_Data[[#This Row],[Job Satisfaction]]="Medium",2,3))</f>
        <v>1</v>
      </c>
      <c r="M58" s="1" t="s">
        <v>244</v>
      </c>
      <c r="N58" s="1">
        <f>IF(HR_Attrition_Data[[#This Row],[Attrition]]="Yes",1,0)</f>
        <v>1</v>
      </c>
      <c r="O58" s="1" t="str">
        <f>IF(HR_Attrition_Data[[#This Row],[Age]]&lt;25,"&lt;25",IF(HR_Attrition_Data[[#This Row],[Age]]&lt;=34,"25-34",IF(HR_Attrition_Data[[#This Row],[Age]]&lt;44,"35-44","45+")))</f>
        <v>35-44</v>
      </c>
      <c r="P58" t="str">
        <f>IF(HR_Attrition_Data[[#This Row],[Salary]]&lt;=50000,"Low",IF(HR_Attrition_Data[[#This Row],[Salary]]&lt;=100000,"Medium","High"))</f>
        <v>Low</v>
      </c>
    </row>
    <row r="59" spans="1:16" x14ac:dyDescent="0.3">
      <c r="A59" s="1" t="s">
        <v>69</v>
      </c>
      <c r="B59" s="1" t="s">
        <v>169</v>
      </c>
      <c r="C59" s="3">
        <v>46</v>
      </c>
      <c r="D59" s="1" t="s">
        <v>212</v>
      </c>
      <c r="E59" s="1" t="s">
        <v>218</v>
      </c>
      <c r="F59" s="1" t="s">
        <v>230</v>
      </c>
      <c r="G59" s="1" t="s">
        <v>235</v>
      </c>
      <c r="H59" s="1" t="s">
        <v>214</v>
      </c>
      <c r="I59" s="1" t="s">
        <v>239</v>
      </c>
      <c r="J59" s="2">
        <v>97152</v>
      </c>
      <c r="K59" s="1" t="s">
        <v>242</v>
      </c>
      <c r="L59" s="10">
        <f>IF(HR_Attrition_Data[[#This Row],[Job Satisfaction]]="Low",1,IF(HR_Attrition_Data[[#This Row],[Job Satisfaction]]="Medium",2,3))</f>
        <v>3</v>
      </c>
      <c r="M59" s="1" t="s">
        <v>243</v>
      </c>
      <c r="N59" s="1">
        <f>IF(HR_Attrition_Data[[#This Row],[Attrition]]="Yes",1,0)</f>
        <v>0</v>
      </c>
      <c r="O59" s="1" t="str">
        <f>IF(HR_Attrition_Data[[#This Row],[Age]]&lt;25,"&lt;25",IF(HR_Attrition_Data[[#This Row],[Age]]&lt;=34,"25-34",IF(HR_Attrition_Data[[#This Row],[Age]]&lt;44,"35-44","45+")))</f>
        <v>45+</v>
      </c>
      <c r="P59" t="str">
        <f>IF(HR_Attrition_Data[[#This Row],[Salary]]&lt;=50000,"Low",IF(HR_Attrition_Data[[#This Row],[Salary]]&lt;=100000,"Medium","High"))</f>
        <v>Medium</v>
      </c>
    </row>
    <row r="60" spans="1:16" x14ac:dyDescent="0.3">
      <c r="A60" s="1" t="s">
        <v>70</v>
      </c>
      <c r="B60" s="1" t="s">
        <v>170</v>
      </c>
      <c r="C60" s="3">
        <v>41</v>
      </c>
      <c r="D60" s="1" t="s">
        <v>212</v>
      </c>
      <c r="E60" s="1" t="s">
        <v>218</v>
      </c>
      <c r="F60" s="1" t="s">
        <v>226</v>
      </c>
      <c r="G60" s="1" t="s">
        <v>234</v>
      </c>
      <c r="H60" s="1" t="s">
        <v>216</v>
      </c>
      <c r="I60" s="1" t="s">
        <v>238</v>
      </c>
      <c r="J60" s="2">
        <v>31688</v>
      </c>
      <c r="K60" s="1" t="s">
        <v>241</v>
      </c>
      <c r="L60" s="10">
        <f>IF(HR_Attrition_Data[[#This Row],[Job Satisfaction]]="Low",1,IF(HR_Attrition_Data[[#This Row],[Job Satisfaction]]="Medium",2,3))</f>
        <v>1</v>
      </c>
      <c r="M60" s="1" t="s">
        <v>244</v>
      </c>
      <c r="N60" s="1">
        <f>IF(HR_Attrition_Data[[#This Row],[Attrition]]="Yes",1,0)</f>
        <v>1</v>
      </c>
      <c r="O60" s="1" t="str">
        <f>IF(HR_Attrition_Data[[#This Row],[Age]]&lt;25,"&lt;25",IF(HR_Attrition_Data[[#This Row],[Age]]&lt;=34,"25-34",IF(HR_Attrition_Data[[#This Row],[Age]]&lt;44,"35-44","45+")))</f>
        <v>35-44</v>
      </c>
      <c r="P60" t="str">
        <f>IF(HR_Attrition_Data[[#This Row],[Salary]]&lt;=50000,"Low",IF(HR_Attrition_Data[[#This Row],[Salary]]&lt;=100000,"Medium","High"))</f>
        <v>Low</v>
      </c>
    </row>
    <row r="61" spans="1:16" x14ac:dyDescent="0.3">
      <c r="A61" s="1" t="s">
        <v>71</v>
      </c>
      <c r="B61" s="1" t="s">
        <v>171</v>
      </c>
      <c r="C61" s="3">
        <v>30</v>
      </c>
      <c r="D61" s="1" t="s">
        <v>213</v>
      </c>
      <c r="E61" s="1" t="s">
        <v>217</v>
      </c>
      <c r="F61" s="1" t="s">
        <v>223</v>
      </c>
      <c r="G61" s="1" t="s">
        <v>233</v>
      </c>
      <c r="H61" s="1" t="s">
        <v>236</v>
      </c>
      <c r="I61" s="1" t="s">
        <v>239</v>
      </c>
      <c r="J61" s="2">
        <v>70675</v>
      </c>
      <c r="K61" s="1" t="s">
        <v>242</v>
      </c>
      <c r="L61" s="10">
        <f>IF(HR_Attrition_Data[[#This Row],[Job Satisfaction]]="Low",1,IF(HR_Attrition_Data[[#This Row],[Job Satisfaction]]="Medium",2,3))</f>
        <v>3</v>
      </c>
      <c r="M61" s="1" t="s">
        <v>243</v>
      </c>
      <c r="N61" s="1">
        <f>IF(HR_Attrition_Data[[#This Row],[Attrition]]="Yes",1,0)</f>
        <v>0</v>
      </c>
      <c r="O61" s="1" t="str">
        <f>IF(HR_Attrition_Data[[#This Row],[Age]]&lt;25,"&lt;25",IF(HR_Attrition_Data[[#This Row],[Age]]&lt;=34,"25-34",IF(HR_Attrition_Data[[#This Row],[Age]]&lt;44,"35-44","45+")))</f>
        <v>25-34</v>
      </c>
      <c r="P61" t="str">
        <f>IF(HR_Attrition_Data[[#This Row],[Salary]]&lt;=50000,"Low",IF(HR_Attrition_Data[[#This Row],[Salary]]&lt;=100000,"Medium","High"))</f>
        <v>Medium</v>
      </c>
    </row>
    <row r="62" spans="1:16" x14ac:dyDescent="0.3">
      <c r="A62" s="1" t="s">
        <v>72</v>
      </c>
      <c r="B62" s="1" t="s">
        <v>172</v>
      </c>
      <c r="C62" s="3">
        <v>43</v>
      </c>
      <c r="D62" s="1" t="s">
        <v>213</v>
      </c>
      <c r="E62" s="1" t="s">
        <v>218</v>
      </c>
      <c r="F62" s="1" t="s">
        <v>226</v>
      </c>
      <c r="G62" s="1" t="s">
        <v>234</v>
      </c>
      <c r="H62" s="1" t="s">
        <v>219</v>
      </c>
      <c r="I62" s="1" t="s">
        <v>237</v>
      </c>
      <c r="J62" s="2">
        <v>54550</v>
      </c>
      <c r="K62" s="1" t="s">
        <v>240</v>
      </c>
      <c r="L62" s="10">
        <f>IF(HR_Attrition_Data[[#This Row],[Job Satisfaction]]="Low",1,IF(HR_Attrition_Data[[#This Row],[Job Satisfaction]]="Medium",2,3))</f>
        <v>2</v>
      </c>
      <c r="M62" s="1" t="s">
        <v>244</v>
      </c>
      <c r="N62" s="1">
        <f>IF(HR_Attrition_Data[[#This Row],[Attrition]]="Yes",1,0)</f>
        <v>1</v>
      </c>
      <c r="O62" s="1" t="str">
        <f>IF(HR_Attrition_Data[[#This Row],[Age]]&lt;25,"&lt;25",IF(HR_Attrition_Data[[#This Row],[Age]]&lt;=34,"25-34",IF(HR_Attrition_Data[[#This Row],[Age]]&lt;44,"35-44","45+")))</f>
        <v>35-44</v>
      </c>
      <c r="P62" t="str">
        <f>IF(HR_Attrition_Data[[#This Row],[Salary]]&lt;=50000,"Low",IF(HR_Attrition_Data[[#This Row],[Salary]]&lt;=100000,"Medium","High"))</f>
        <v>Medium</v>
      </c>
    </row>
    <row r="63" spans="1:16" x14ac:dyDescent="0.3">
      <c r="A63" s="1" t="s">
        <v>73</v>
      </c>
      <c r="B63" s="1" t="s">
        <v>173</v>
      </c>
      <c r="C63" s="3">
        <v>42</v>
      </c>
      <c r="D63" s="1" t="s">
        <v>213</v>
      </c>
      <c r="E63" s="1" t="s">
        <v>217</v>
      </c>
      <c r="F63" s="1" t="s">
        <v>223</v>
      </c>
      <c r="G63" s="1" t="s">
        <v>234</v>
      </c>
      <c r="H63" s="1" t="s">
        <v>219</v>
      </c>
      <c r="I63" s="1" t="s">
        <v>238</v>
      </c>
      <c r="J63" s="2">
        <v>22504</v>
      </c>
      <c r="K63" s="1" t="s">
        <v>240</v>
      </c>
      <c r="L63" s="10">
        <f>IF(HR_Attrition_Data[[#This Row],[Job Satisfaction]]="Low",1,IF(HR_Attrition_Data[[#This Row],[Job Satisfaction]]="Medium",2,3))</f>
        <v>2</v>
      </c>
      <c r="M63" s="1" t="s">
        <v>244</v>
      </c>
      <c r="N63" s="1">
        <f>IF(HR_Attrition_Data[[#This Row],[Attrition]]="Yes",1,0)</f>
        <v>1</v>
      </c>
      <c r="O63" s="1" t="str">
        <f>IF(HR_Attrition_Data[[#This Row],[Age]]&lt;25,"&lt;25",IF(HR_Attrition_Data[[#This Row],[Age]]&lt;=34,"25-34",IF(HR_Attrition_Data[[#This Row],[Age]]&lt;44,"35-44","45+")))</f>
        <v>35-44</v>
      </c>
      <c r="P63" t="str">
        <f>IF(HR_Attrition_Data[[#This Row],[Salary]]&lt;=50000,"Low",IF(HR_Attrition_Data[[#This Row],[Salary]]&lt;=100000,"Medium","High"))</f>
        <v>Low</v>
      </c>
    </row>
    <row r="64" spans="1:16" x14ac:dyDescent="0.3">
      <c r="A64" s="1" t="s">
        <v>74</v>
      </c>
      <c r="B64" s="1" t="s">
        <v>174</v>
      </c>
      <c r="C64" s="3">
        <v>22</v>
      </c>
      <c r="D64" s="1" t="s">
        <v>213</v>
      </c>
      <c r="E64" s="1" t="s">
        <v>216</v>
      </c>
      <c r="F64" s="1" t="s">
        <v>227</v>
      </c>
      <c r="G64" s="1" t="s">
        <v>234</v>
      </c>
      <c r="H64" s="1" t="s">
        <v>215</v>
      </c>
      <c r="I64" s="1" t="s">
        <v>237</v>
      </c>
      <c r="J64" s="2">
        <v>32638</v>
      </c>
      <c r="K64" s="1" t="s">
        <v>242</v>
      </c>
      <c r="L64" s="10">
        <f>IF(HR_Attrition_Data[[#This Row],[Job Satisfaction]]="Low",1,IF(HR_Attrition_Data[[#This Row],[Job Satisfaction]]="Medium",2,3))</f>
        <v>3</v>
      </c>
      <c r="M64" s="1" t="s">
        <v>243</v>
      </c>
      <c r="N64" s="1">
        <f>IF(HR_Attrition_Data[[#This Row],[Attrition]]="Yes",1,0)</f>
        <v>0</v>
      </c>
      <c r="O64" s="1" t="str">
        <f>IF(HR_Attrition_Data[[#This Row],[Age]]&lt;25,"&lt;25",IF(HR_Attrition_Data[[#This Row],[Age]]&lt;=34,"25-34",IF(HR_Attrition_Data[[#This Row],[Age]]&lt;44,"35-44","45+")))</f>
        <v>&lt;25</v>
      </c>
      <c r="P64" t="str">
        <f>IF(HR_Attrition_Data[[#This Row],[Salary]]&lt;=50000,"Low",IF(HR_Attrition_Data[[#This Row],[Salary]]&lt;=100000,"Medium","High"))</f>
        <v>Low</v>
      </c>
    </row>
    <row r="65" spans="1:16" x14ac:dyDescent="0.3">
      <c r="A65" s="1" t="s">
        <v>75</v>
      </c>
      <c r="B65" s="1" t="s">
        <v>175</v>
      </c>
      <c r="C65" s="3">
        <v>55</v>
      </c>
      <c r="D65" s="1" t="s">
        <v>213</v>
      </c>
      <c r="E65" s="1" t="s">
        <v>217</v>
      </c>
      <c r="F65" s="1" t="s">
        <v>228</v>
      </c>
      <c r="G65" s="1" t="s">
        <v>233</v>
      </c>
      <c r="H65" s="1" t="s">
        <v>216</v>
      </c>
      <c r="I65" s="1" t="s">
        <v>239</v>
      </c>
      <c r="J65" s="2">
        <v>19644</v>
      </c>
      <c r="K65" s="1" t="s">
        <v>240</v>
      </c>
      <c r="L65" s="10">
        <f>IF(HR_Attrition_Data[[#This Row],[Job Satisfaction]]="Low",1,IF(HR_Attrition_Data[[#This Row],[Job Satisfaction]]="Medium",2,3))</f>
        <v>2</v>
      </c>
      <c r="M65" s="1" t="s">
        <v>244</v>
      </c>
      <c r="N65" s="1">
        <f>IF(HR_Attrition_Data[[#This Row],[Attrition]]="Yes",1,0)</f>
        <v>1</v>
      </c>
      <c r="O65" s="1" t="str">
        <f>IF(HR_Attrition_Data[[#This Row],[Age]]&lt;25,"&lt;25",IF(HR_Attrition_Data[[#This Row],[Age]]&lt;=34,"25-34",IF(HR_Attrition_Data[[#This Row],[Age]]&lt;44,"35-44","45+")))</f>
        <v>45+</v>
      </c>
      <c r="P65" t="str">
        <f>IF(HR_Attrition_Data[[#This Row],[Salary]]&lt;=50000,"Low",IF(HR_Attrition_Data[[#This Row],[Salary]]&lt;=100000,"Medium","High"))</f>
        <v>Low</v>
      </c>
    </row>
    <row r="66" spans="1:16" x14ac:dyDescent="0.3">
      <c r="A66" s="1" t="s">
        <v>76</v>
      </c>
      <c r="B66" s="1" t="s">
        <v>176</v>
      </c>
      <c r="C66" s="3">
        <v>27</v>
      </c>
      <c r="D66" s="1" t="s">
        <v>213</v>
      </c>
      <c r="E66" s="1" t="s">
        <v>218</v>
      </c>
      <c r="F66" s="1" t="s">
        <v>230</v>
      </c>
      <c r="G66" s="1" t="s">
        <v>233</v>
      </c>
      <c r="H66" s="1" t="s">
        <v>236</v>
      </c>
      <c r="I66" s="1" t="s">
        <v>239</v>
      </c>
      <c r="J66" s="2">
        <v>94363</v>
      </c>
      <c r="K66" s="1" t="s">
        <v>242</v>
      </c>
      <c r="L66" s="10">
        <f>IF(HR_Attrition_Data[[#This Row],[Job Satisfaction]]="Low",1,IF(HR_Attrition_Data[[#This Row],[Job Satisfaction]]="Medium",2,3))</f>
        <v>3</v>
      </c>
      <c r="M66" s="1" t="s">
        <v>243</v>
      </c>
      <c r="N66" s="1">
        <f>IF(HR_Attrition_Data[[#This Row],[Attrition]]="Yes",1,0)</f>
        <v>0</v>
      </c>
      <c r="O66" s="1" t="str">
        <f>IF(HR_Attrition_Data[[#This Row],[Age]]&lt;25,"&lt;25",IF(HR_Attrition_Data[[#This Row],[Age]]&lt;=34,"25-34",IF(HR_Attrition_Data[[#This Row],[Age]]&lt;44,"35-44","45+")))</f>
        <v>25-34</v>
      </c>
      <c r="P66" t="str">
        <f>IF(HR_Attrition_Data[[#This Row],[Salary]]&lt;=50000,"Low",IF(HR_Attrition_Data[[#This Row],[Salary]]&lt;=100000,"Medium","High"))</f>
        <v>Medium</v>
      </c>
    </row>
    <row r="67" spans="1:16" x14ac:dyDescent="0.3">
      <c r="A67" s="1" t="s">
        <v>77</v>
      </c>
      <c r="B67" s="1" t="s">
        <v>177</v>
      </c>
      <c r="C67" s="3">
        <v>49</v>
      </c>
      <c r="D67" s="1" t="s">
        <v>213</v>
      </c>
      <c r="E67" s="1" t="s">
        <v>214</v>
      </c>
      <c r="F67" s="1" t="s">
        <v>225</v>
      </c>
      <c r="G67" s="1" t="s">
        <v>234</v>
      </c>
      <c r="H67" s="1" t="s">
        <v>214</v>
      </c>
      <c r="I67" s="1" t="s">
        <v>237</v>
      </c>
      <c r="J67" s="2">
        <v>61643</v>
      </c>
      <c r="K67" s="1" t="s">
        <v>240</v>
      </c>
      <c r="L67" s="10">
        <f>IF(HR_Attrition_Data[[#This Row],[Job Satisfaction]]="Low",1,IF(HR_Attrition_Data[[#This Row],[Job Satisfaction]]="Medium",2,3))</f>
        <v>2</v>
      </c>
      <c r="M67" s="1" t="s">
        <v>243</v>
      </c>
      <c r="N67" s="1">
        <f>IF(HR_Attrition_Data[[#This Row],[Attrition]]="Yes",1,0)</f>
        <v>0</v>
      </c>
      <c r="O67" s="1" t="str">
        <f>IF(HR_Attrition_Data[[#This Row],[Age]]&lt;25,"&lt;25",IF(HR_Attrition_Data[[#This Row],[Age]]&lt;=34,"25-34",IF(HR_Attrition_Data[[#This Row],[Age]]&lt;44,"35-44","45+")))</f>
        <v>45+</v>
      </c>
      <c r="P67" t="str">
        <f>IF(HR_Attrition_Data[[#This Row],[Salary]]&lt;=50000,"Low",IF(HR_Attrition_Data[[#This Row],[Salary]]&lt;=100000,"Medium","High"))</f>
        <v>Medium</v>
      </c>
    </row>
    <row r="68" spans="1:16" x14ac:dyDescent="0.3">
      <c r="A68" s="1" t="s">
        <v>78</v>
      </c>
      <c r="B68" s="1" t="s">
        <v>178</v>
      </c>
      <c r="C68" s="3">
        <v>33</v>
      </c>
      <c r="D68" s="1" t="s">
        <v>213</v>
      </c>
      <c r="E68" s="1" t="s">
        <v>218</v>
      </c>
      <c r="F68" s="1" t="s">
        <v>230</v>
      </c>
      <c r="G68" s="1" t="s">
        <v>234</v>
      </c>
      <c r="H68" s="1" t="s">
        <v>219</v>
      </c>
      <c r="I68" s="1" t="s">
        <v>237</v>
      </c>
      <c r="J68" s="2">
        <v>18193</v>
      </c>
      <c r="K68" s="1" t="s">
        <v>241</v>
      </c>
      <c r="L68" s="10">
        <f>IF(HR_Attrition_Data[[#This Row],[Job Satisfaction]]="Low",1,IF(HR_Attrition_Data[[#This Row],[Job Satisfaction]]="Medium",2,3))</f>
        <v>1</v>
      </c>
      <c r="M68" s="1" t="s">
        <v>244</v>
      </c>
      <c r="N68" s="1">
        <f>IF(HR_Attrition_Data[[#This Row],[Attrition]]="Yes",1,0)</f>
        <v>1</v>
      </c>
      <c r="O68" s="1" t="str">
        <f>IF(HR_Attrition_Data[[#This Row],[Age]]&lt;25,"&lt;25",IF(HR_Attrition_Data[[#This Row],[Age]]&lt;=34,"25-34",IF(HR_Attrition_Data[[#This Row],[Age]]&lt;44,"35-44","45+")))</f>
        <v>25-34</v>
      </c>
      <c r="P68" t="str">
        <f>IF(HR_Attrition_Data[[#This Row],[Salary]]&lt;=50000,"Low",IF(HR_Attrition_Data[[#This Row],[Salary]]&lt;=100000,"Medium","High"))</f>
        <v>Low</v>
      </c>
    </row>
    <row r="69" spans="1:16" x14ac:dyDescent="0.3">
      <c r="A69" s="1" t="s">
        <v>79</v>
      </c>
      <c r="B69" s="1" t="s">
        <v>179</v>
      </c>
      <c r="C69" s="3">
        <v>55</v>
      </c>
      <c r="D69" s="1" t="s">
        <v>213</v>
      </c>
      <c r="E69" s="1" t="s">
        <v>218</v>
      </c>
      <c r="F69" s="1" t="s">
        <v>226</v>
      </c>
      <c r="G69" s="1" t="s">
        <v>235</v>
      </c>
      <c r="H69" s="1" t="s">
        <v>215</v>
      </c>
      <c r="I69" s="1" t="s">
        <v>238</v>
      </c>
      <c r="J69" s="2">
        <v>109621</v>
      </c>
      <c r="K69" s="1" t="s">
        <v>242</v>
      </c>
      <c r="L69" s="10">
        <f>IF(HR_Attrition_Data[[#This Row],[Job Satisfaction]]="Low",1,IF(HR_Attrition_Data[[#This Row],[Job Satisfaction]]="Medium",2,3))</f>
        <v>3</v>
      </c>
      <c r="M69" s="1" t="s">
        <v>244</v>
      </c>
      <c r="N69" s="1">
        <f>IF(HR_Attrition_Data[[#This Row],[Attrition]]="Yes",1,0)</f>
        <v>1</v>
      </c>
      <c r="O69" s="1" t="str">
        <f>IF(HR_Attrition_Data[[#This Row],[Age]]&lt;25,"&lt;25",IF(HR_Attrition_Data[[#This Row],[Age]]&lt;=34,"25-34",IF(HR_Attrition_Data[[#This Row],[Age]]&lt;44,"35-44","45+")))</f>
        <v>45+</v>
      </c>
      <c r="P69" t="str">
        <f>IF(HR_Attrition_Data[[#This Row],[Salary]]&lt;=50000,"Low",IF(HR_Attrition_Data[[#This Row],[Salary]]&lt;=100000,"Medium","High"))</f>
        <v>High</v>
      </c>
    </row>
    <row r="70" spans="1:16" x14ac:dyDescent="0.3">
      <c r="A70" s="1" t="s">
        <v>80</v>
      </c>
      <c r="B70" s="1" t="s">
        <v>180</v>
      </c>
      <c r="C70" s="3">
        <v>47</v>
      </c>
      <c r="D70" s="1" t="s">
        <v>213</v>
      </c>
      <c r="E70" s="1" t="s">
        <v>218</v>
      </c>
      <c r="F70" s="1" t="s">
        <v>226</v>
      </c>
      <c r="G70" s="1" t="s">
        <v>235</v>
      </c>
      <c r="H70" s="1" t="s">
        <v>216</v>
      </c>
      <c r="I70" s="1" t="s">
        <v>237</v>
      </c>
      <c r="J70" s="2">
        <v>62218</v>
      </c>
      <c r="K70" s="1" t="s">
        <v>242</v>
      </c>
      <c r="L70" s="10">
        <f>IF(HR_Attrition_Data[[#This Row],[Job Satisfaction]]="Low",1,IF(HR_Attrition_Data[[#This Row],[Job Satisfaction]]="Medium",2,3))</f>
        <v>3</v>
      </c>
      <c r="M70" s="1" t="s">
        <v>244</v>
      </c>
      <c r="N70" s="1">
        <f>IF(HR_Attrition_Data[[#This Row],[Attrition]]="Yes",1,0)</f>
        <v>1</v>
      </c>
      <c r="O70" s="1" t="str">
        <f>IF(HR_Attrition_Data[[#This Row],[Age]]&lt;25,"&lt;25",IF(HR_Attrition_Data[[#This Row],[Age]]&lt;=34,"25-34",IF(HR_Attrition_Data[[#This Row],[Age]]&lt;44,"35-44","45+")))</f>
        <v>45+</v>
      </c>
      <c r="P70" t="str">
        <f>IF(HR_Attrition_Data[[#This Row],[Salary]]&lt;=50000,"Low",IF(HR_Attrition_Data[[#This Row],[Salary]]&lt;=100000,"Medium","High"))</f>
        <v>Medium</v>
      </c>
    </row>
    <row r="71" spans="1:16" x14ac:dyDescent="0.3">
      <c r="A71" s="1" t="s">
        <v>81</v>
      </c>
      <c r="B71" s="1" t="s">
        <v>181</v>
      </c>
      <c r="C71" s="3">
        <v>56</v>
      </c>
      <c r="D71" s="1" t="s">
        <v>212</v>
      </c>
      <c r="E71" s="1" t="s">
        <v>217</v>
      </c>
      <c r="F71" s="1" t="s">
        <v>228</v>
      </c>
      <c r="G71" s="1" t="s">
        <v>235</v>
      </c>
      <c r="H71" s="1" t="s">
        <v>219</v>
      </c>
      <c r="I71" s="1" t="s">
        <v>238</v>
      </c>
      <c r="J71" s="2">
        <v>56700</v>
      </c>
      <c r="K71" s="1" t="s">
        <v>242</v>
      </c>
      <c r="L71" s="10">
        <f>IF(HR_Attrition_Data[[#This Row],[Job Satisfaction]]="Low",1,IF(HR_Attrition_Data[[#This Row],[Job Satisfaction]]="Medium",2,3))</f>
        <v>3</v>
      </c>
      <c r="M71" s="1" t="s">
        <v>243</v>
      </c>
      <c r="N71" s="1">
        <f>IF(HR_Attrition_Data[[#This Row],[Attrition]]="Yes",1,0)</f>
        <v>0</v>
      </c>
      <c r="O71" s="1" t="str">
        <f>IF(HR_Attrition_Data[[#This Row],[Age]]&lt;25,"&lt;25",IF(HR_Attrition_Data[[#This Row],[Age]]&lt;=34,"25-34",IF(HR_Attrition_Data[[#This Row],[Age]]&lt;44,"35-44","45+")))</f>
        <v>45+</v>
      </c>
      <c r="P71" t="str">
        <f>IF(HR_Attrition_Data[[#This Row],[Salary]]&lt;=50000,"Low",IF(HR_Attrition_Data[[#This Row],[Salary]]&lt;=100000,"Medium","High"))</f>
        <v>Medium</v>
      </c>
    </row>
    <row r="72" spans="1:16" x14ac:dyDescent="0.3">
      <c r="A72" s="1" t="s">
        <v>82</v>
      </c>
      <c r="B72" s="1" t="s">
        <v>182</v>
      </c>
      <c r="C72" s="3">
        <v>54</v>
      </c>
      <c r="D72" s="1" t="s">
        <v>213</v>
      </c>
      <c r="E72" s="1" t="s">
        <v>219</v>
      </c>
      <c r="F72" s="1" t="s">
        <v>231</v>
      </c>
      <c r="G72" s="1" t="s">
        <v>233</v>
      </c>
      <c r="H72" s="1" t="s">
        <v>214</v>
      </c>
      <c r="I72" s="1" t="s">
        <v>239</v>
      </c>
      <c r="J72" s="2">
        <v>48941</v>
      </c>
      <c r="K72" s="1" t="s">
        <v>242</v>
      </c>
      <c r="L72" s="10">
        <f>IF(HR_Attrition_Data[[#This Row],[Job Satisfaction]]="Low",1,IF(HR_Attrition_Data[[#This Row],[Job Satisfaction]]="Medium",2,3))</f>
        <v>3</v>
      </c>
      <c r="M72" s="1" t="s">
        <v>243</v>
      </c>
      <c r="N72" s="1">
        <f>IF(HR_Attrition_Data[[#This Row],[Attrition]]="Yes",1,0)</f>
        <v>0</v>
      </c>
      <c r="O72" s="1" t="str">
        <f>IF(HR_Attrition_Data[[#This Row],[Age]]&lt;25,"&lt;25",IF(HR_Attrition_Data[[#This Row],[Age]]&lt;=34,"25-34",IF(HR_Attrition_Data[[#This Row],[Age]]&lt;44,"35-44","45+")))</f>
        <v>45+</v>
      </c>
      <c r="P72" t="str">
        <f>IF(HR_Attrition_Data[[#This Row],[Salary]]&lt;=50000,"Low",IF(HR_Attrition_Data[[#This Row],[Salary]]&lt;=100000,"Medium","High"))</f>
        <v>Low</v>
      </c>
    </row>
    <row r="73" spans="1:16" x14ac:dyDescent="0.3">
      <c r="A73" s="1" t="s">
        <v>83</v>
      </c>
      <c r="B73" s="1" t="s">
        <v>183</v>
      </c>
      <c r="C73" s="3">
        <v>56</v>
      </c>
      <c r="D73" s="1" t="s">
        <v>212</v>
      </c>
      <c r="E73" s="1" t="s">
        <v>218</v>
      </c>
      <c r="F73" s="1" t="s">
        <v>230</v>
      </c>
      <c r="G73" s="1" t="s">
        <v>235</v>
      </c>
      <c r="H73" s="1" t="s">
        <v>236</v>
      </c>
      <c r="I73" s="1" t="s">
        <v>239</v>
      </c>
      <c r="J73" s="2">
        <v>104900</v>
      </c>
      <c r="K73" s="1" t="s">
        <v>240</v>
      </c>
      <c r="L73" s="10">
        <f>IF(HR_Attrition_Data[[#This Row],[Job Satisfaction]]="Low",1,IF(HR_Attrition_Data[[#This Row],[Job Satisfaction]]="Medium",2,3))</f>
        <v>2</v>
      </c>
      <c r="M73" s="1" t="s">
        <v>243</v>
      </c>
      <c r="N73" s="1">
        <f>IF(HR_Attrition_Data[[#This Row],[Attrition]]="Yes",1,0)</f>
        <v>0</v>
      </c>
      <c r="O73" s="1" t="str">
        <f>IF(HR_Attrition_Data[[#This Row],[Age]]&lt;25,"&lt;25",IF(HR_Attrition_Data[[#This Row],[Age]]&lt;=34,"25-34",IF(HR_Attrition_Data[[#This Row],[Age]]&lt;44,"35-44","45+")))</f>
        <v>45+</v>
      </c>
      <c r="P73" t="str">
        <f>IF(HR_Attrition_Data[[#This Row],[Salary]]&lt;=50000,"Low",IF(HR_Attrition_Data[[#This Row],[Salary]]&lt;=100000,"Medium","High"))</f>
        <v>High</v>
      </c>
    </row>
    <row r="74" spans="1:16" x14ac:dyDescent="0.3">
      <c r="A74" s="1" t="s">
        <v>84</v>
      </c>
      <c r="B74" s="1" t="s">
        <v>184</v>
      </c>
      <c r="C74" s="3">
        <v>44</v>
      </c>
      <c r="D74" s="1" t="s">
        <v>213</v>
      </c>
      <c r="E74" s="1" t="s">
        <v>215</v>
      </c>
      <c r="F74" s="1" t="s">
        <v>224</v>
      </c>
      <c r="G74" s="1" t="s">
        <v>234</v>
      </c>
      <c r="H74" s="1" t="s">
        <v>236</v>
      </c>
      <c r="I74" s="1" t="s">
        <v>239</v>
      </c>
      <c r="J74" s="2">
        <v>17440</v>
      </c>
      <c r="K74" s="1" t="s">
        <v>241</v>
      </c>
      <c r="L74" s="10">
        <f>IF(HR_Attrition_Data[[#This Row],[Job Satisfaction]]="Low",1,IF(HR_Attrition_Data[[#This Row],[Job Satisfaction]]="Medium",2,3))</f>
        <v>1</v>
      </c>
      <c r="M74" s="1" t="s">
        <v>244</v>
      </c>
      <c r="N74" s="1">
        <f>IF(HR_Attrition_Data[[#This Row],[Attrition]]="Yes",1,0)</f>
        <v>1</v>
      </c>
      <c r="O74" s="1" t="str">
        <f>IF(HR_Attrition_Data[[#This Row],[Age]]&lt;25,"&lt;25",IF(HR_Attrition_Data[[#This Row],[Age]]&lt;=34,"25-34",IF(HR_Attrition_Data[[#This Row],[Age]]&lt;44,"35-44","45+")))</f>
        <v>45+</v>
      </c>
      <c r="P74" t="str">
        <f>IF(HR_Attrition_Data[[#This Row],[Salary]]&lt;=50000,"Low",IF(HR_Attrition_Data[[#This Row],[Salary]]&lt;=100000,"Medium","High"))</f>
        <v>Low</v>
      </c>
    </row>
    <row r="75" spans="1:16" x14ac:dyDescent="0.3">
      <c r="A75" s="1" t="s">
        <v>85</v>
      </c>
      <c r="B75" s="1" t="s">
        <v>185</v>
      </c>
      <c r="C75" s="3">
        <v>54</v>
      </c>
      <c r="D75" s="1" t="s">
        <v>212</v>
      </c>
      <c r="E75" s="1" t="s">
        <v>216</v>
      </c>
      <c r="F75" s="1" t="s">
        <v>227</v>
      </c>
      <c r="G75" s="1" t="s">
        <v>233</v>
      </c>
      <c r="H75" s="1" t="s">
        <v>236</v>
      </c>
      <c r="I75" s="1" t="s">
        <v>239</v>
      </c>
      <c r="J75" s="2">
        <v>134424</v>
      </c>
      <c r="K75" s="1" t="s">
        <v>242</v>
      </c>
      <c r="L75" s="10">
        <f>IF(HR_Attrition_Data[[#This Row],[Job Satisfaction]]="Low",1,IF(HR_Attrition_Data[[#This Row],[Job Satisfaction]]="Medium",2,3))</f>
        <v>3</v>
      </c>
      <c r="M75" s="1" t="s">
        <v>243</v>
      </c>
      <c r="N75" s="1">
        <f>IF(HR_Attrition_Data[[#This Row],[Attrition]]="Yes",1,0)</f>
        <v>0</v>
      </c>
      <c r="O75" s="1" t="str">
        <f>IF(HR_Attrition_Data[[#This Row],[Age]]&lt;25,"&lt;25",IF(HR_Attrition_Data[[#This Row],[Age]]&lt;=34,"25-34",IF(HR_Attrition_Data[[#This Row],[Age]]&lt;44,"35-44","45+")))</f>
        <v>45+</v>
      </c>
      <c r="P75" t="str">
        <f>IF(HR_Attrition_Data[[#This Row],[Salary]]&lt;=50000,"Low",IF(HR_Attrition_Data[[#This Row],[Salary]]&lt;=100000,"Medium","High"))</f>
        <v>High</v>
      </c>
    </row>
    <row r="76" spans="1:16" x14ac:dyDescent="0.3">
      <c r="A76" s="1" t="s">
        <v>86</v>
      </c>
      <c r="B76" s="1" t="s">
        <v>186</v>
      </c>
      <c r="C76" s="3">
        <v>42</v>
      </c>
      <c r="D76" s="1" t="s">
        <v>213</v>
      </c>
      <c r="E76" s="1" t="s">
        <v>217</v>
      </c>
      <c r="F76" s="1" t="s">
        <v>223</v>
      </c>
      <c r="G76" s="1" t="s">
        <v>235</v>
      </c>
      <c r="H76" s="1" t="s">
        <v>214</v>
      </c>
      <c r="I76" s="1" t="s">
        <v>237</v>
      </c>
      <c r="J76" s="2">
        <v>146584</v>
      </c>
      <c r="K76" s="1" t="s">
        <v>242</v>
      </c>
      <c r="L76" s="10">
        <f>IF(HR_Attrition_Data[[#This Row],[Job Satisfaction]]="Low",1,IF(HR_Attrition_Data[[#This Row],[Job Satisfaction]]="Medium",2,3))</f>
        <v>3</v>
      </c>
      <c r="M76" s="1" t="s">
        <v>243</v>
      </c>
      <c r="N76" s="1">
        <f>IF(HR_Attrition_Data[[#This Row],[Attrition]]="Yes",1,0)</f>
        <v>0</v>
      </c>
      <c r="O76" s="1" t="str">
        <f>IF(HR_Attrition_Data[[#This Row],[Age]]&lt;25,"&lt;25",IF(HR_Attrition_Data[[#This Row],[Age]]&lt;=34,"25-34",IF(HR_Attrition_Data[[#This Row],[Age]]&lt;44,"35-44","45+")))</f>
        <v>35-44</v>
      </c>
      <c r="P76" t="str">
        <f>IF(HR_Attrition_Data[[#This Row],[Salary]]&lt;=50000,"Low",IF(HR_Attrition_Data[[#This Row],[Salary]]&lt;=100000,"Medium","High"))</f>
        <v>High</v>
      </c>
    </row>
    <row r="77" spans="1:16" x14ac:dyDescent="0.3">
      <c r="A77" s="1" t="s">
        <v>87</v>
      </c>
      <c r="B77" s="1" t="s">
        <v>187</v>
      </c>
      <c r="C77" s="3">
        <v>42</v>
      </c>
      <c r="D77" s="1" t="s">
        <v>212</v>
      </c>
      <c r="E77" s="1" t="s">
        <v>214</v>
      </c>
      <c r="F77" s="1" t="s">
        <v>225</v>
      </c>
      <c r="G77" s="1" t="s">
        <v>233</v>
      </c>
      <c r="H77" s="1" t="s">
        <v>219</v>
      </c>
      <c r="I77" s="1" t="s">
        <v>237</v>
      </c>
      <c r="J77" s="2">
        <v>63495</v>
      </c>
      <c r="K77" s="1" t="s">
        <v>242</v>
      </c>
      <c r="L77" s="10">
        <f>IF(HR_Attrition_Data[[#This Row],[Job Satisfaction]]="Low",1,IF(HR_Attrition_Data[[#This Row],[Job Satisfaction]]="Medium",2,3))</f>
        <v>3</v>
      </c>
      <c r="M77" s="1" t="s">
        <v>243</v>
      </c>
      <c r="N77" s="1">
        <f>IF(HR_Attrition_Data[[#This Row],[Attrition]]="Yes",1,0)</f>
        <v>0</v>
      </c>
      <c r="O77" s="1" t="str">
        <f>IF(HR_Attrition_Data[[#This Row],[Age]]&lt;25,"&lt;25",IF(HR_Attrition_Data[[#This Row],[Age]]&lt;=34,"25-34",IF(HR_Attrition_Data[[#This Row],[Age]]&lt;44,"35-44","45+")))</f>
        <v>35-44</v>
      </c>
      <c r="P77" t="str">
        <f>IF(HR_Attrition_Data[[#This Row],[Salary]]&lt;=50000,"Low",IF(HR_Attrition_Data[[#This Row],[Salary]]&lt;=100000,"Medium","High"))</f>
        <v>Medium</v>
      </c>
    </row>
    <row r="78" spans="1:16" x14ac:dyDescent="0.3">
      <c r="A78" s="1" t="s">
        <v>88</v>
      </c>
      <c r="B78" s="1" t="s">
        <v>188</v>
      </c>
      <c r="C78" s="3">
        <v>54</v>
      </c>
      <c r="D78" s="1" t="s">
        <v>213</v>
      </c>
      <c r="E78" s="1" t="s">
        <v>216</v>
      </c>
      <c r="F78" s="1" t="s">
        <v>227</v>
      </c>
      <c r="G78" s="1" t="s">
        <v>233</v>
      </c>
      <c r="H78" s="1" t="s">
        <v>214</v>
      </c>
      <c r="I78" s="1" t="s">
        <v>238</v>
      </c>
      <c r="J78" s="2">
        <v>49221</v>
      </c>
      <c r="K78" s="1" t="s">
        <v>240</v>
      </c>
      <c r="L78" s="10">
        <f>IF(HR_Attrition_Data[[#This Row],[Job Satisfaction]]="Low",1,IF(HR_Attrition_Data[[#This Row],[Job Satisfaction]]="Medium",2,3))</f>
        <v>2</v>
      </c>
      <c r="M78" s="1" t="s">
        <v>244</v>
      </c>
      <c r="N78" s="1">
        <f>IF(HR_Attrition_Data[[#This Row],[Attrition]]="Yes",1,0)</f>
        <v>1</v>
      </c>
      <c r="O78" s="1" t="str">
        <f>IF(HR_Attrition_Data[[#This Row],[Age]]&lt;25,"&lt;25",IF(HR_Attrition_Data[[#This Row],[Age]]&lt;=34,"25-34",IF(HR_Attrition_Data[[#This Row],[Age]]&lt;44,"35-44","45+")))</f>
        <v>45+</v>
      </c>
      <c r="P78" t="str">
        <f>IF(HR_Attrition_Data[[#This Row],[Salary]]&lt;=50000,"Low",IF(HR_Attrition_Data[[#This Row],[Salary]]&lt;=100000,"Medium","High"))</f>
        <v>Low</v>
      </c>
    </row>
    <row r="79" spans="1:16" x14ac:dyDescent="0.3">
      <c r="A79" s="1" t="s">
        <v>89</v>
      </c>
      <c r="B79" s="1" t="s">
        <v>189</v>
      </c>
      <c r="C79" s="3">
        <v>23</v>
      </c>
      <c r="D79" s="1" t="s">
        <v>213</v>
      </c>
      <c r="E79" s="1" t="s">
        <v>217</v>
      </c>
      <c r="F79" s="1" t="s">
        <v>223</v>
      </c>
      <c r="G79" s="1" t="s">
        <v>235</v>
      </c>
      <c r="H79" s="1" t="s">
        <v>216</v>
      </c>
      <c r="I79" s="1" t="s">
        <v>238</v>
      </c>
      <c r="J79" s="2">
        <v>32657</v>
      </c>
      <c r="K79" s="1" t="s">
        <v>240</v>
      </c>
      <c r="L79" s="11">
        <f>IF(HR_Attrition_Data[[#This Row],[Job Satisfaction]]="Low",1,IF(HR_Attrition_Data[[#This Row],[Job Satisfaction]]="Medium",2,3))</f>
        <v>2</v>
      </c>
      <c r="M79" s="1" t="s">
        <v>244</v>
      </c>
      <c r="N79" s="1">
        <f>IF(HR_Attrition_Data[[#This Row],[Attrition]]="Yes",1,0)</f>
        <v>1</v>
      </c>
      <c r="O79" s="1" t="str">
        <f>IF(HR_Attrition_Data[[#This Row],[Age]]&lt;25,"&lt;25",IF(HR_Attrition_Data[[#This Row],[Age]]&lt;=34,"25-34",IF(HR_Attrition_Data[[#This Row],[Age]]&lt;44,"35-44","45+")))</f>
        <v>&lt;25</v>
      </c>
      <c r="P79" t="str">
        <f>IF(HR_Attrition_Data[[#This Row],[Salary]]&lt;=50000,"Low",IF(HR_Attrition_Data[[#This Row],[Salary]]&lt;=100000,"Medium","High"))</f>
        <v>Low</v>
      </c>
    </row>
    <row r="80" spans="1:16" x14ac:dyDescent="0.3">
      <c r="A80" s="1" t="s">
        <v>90</v>
      </c>
      <c r="B80" s="1" t="s">
        <v>190</v>
      </c>
      <c r="C80" s="3">
        <v>51</v>
      </c>
      <c r="D80" s="1" t="s">
        <v>213</v>
      </c>
      <c r="E80" s="1" t="s">
        <v>214</v>
      </c>
      <c r="F80" s="1" t="s">
        <v>225</v>
      </c>
      <c r="G80" s="1" t="s">
        <v>234</v>
      </c>
      <c r="H80" s="1" t="s">
        <v>214</v>
      </c>
      <c r="I80" s="1" t="s">
        <v>237</v>
      </c>
      <c r="J80" s="2">
        <v>19405</v>
      </c>
      <c r="K80" s="1" t="s">
        <v>240</v>
      </c>
      <c r="L80" s="11">
        <f>IF(HR_Attrition_Data[[#This Row],[Job Satisfaction]]="Low",1,IF(HR_Attrition_Data[[#This Row],[Job Satisfaction]]="Medium",2,3))</f>
        <v>2</v>
      </c>
      <c r="M80" s="1" t="s">
        <v>244</v>
      </c>
      <c r="N80" s="1">
        <f>IF(HR_Attrition_Data[[#This Row],[Attrition]]="Yes",1,0)</f>
        <v>1</v>
      </c>
      <c r="O80" s="1" t="str">
        <f>IF(HR_Attrition_Data[[#This Row],[Age]]&lt;25,"&lt;25",IF(HR_Attrition_Data[[#This Row],[Age]]&lt;=34,"25-34",IF(HR_Attrition_Data[[#This Row],[Age]]&lt;44,"35-44","45+")))</f>
        <v>45+</v>
      </c>
      <c r="P80" t="str">
        <f>IF(HR_Attrition_Data[[#This Row],[Salary]]&lt;=50000,"Low",IF(HR_Attrition_Data[[#This Row],[Salary]]&lt;=100000,"Medium","High"))</f>
        <v>Low</v>
      </c>
    </row>
    <row r="81" spans="1:16" x14ac:dyDescent="0.3">
      <c r="A81" s="1" t="s">
        <v>91</v>
      </c>
      <c r="B81" s="1" t="s">
        <v>191</v>
      </c>
      <c r="C81" s="3">
        <v>23</v>
      </c>
      <c r="D81" s="1" t="s">
        <v>213</v>
      </c>
      <c r="E81" s="1" t="s">
        <v>216</v>
      </c>
      <c r="F81" s="1" t="s">
        <v>222</v>
      </c>
      <c r="G81" s="1" t="s">
        <v>233</v>
      </c>
      <c r="H81" s="1" t="s">
        <v>216</v>
      </c>
      <c r="I81" s="1" t="s">
        <v>239</v>
      </c>
      <c r="J81" s="2">
        <v>79971</v>
      </c>
      <c r="K81" s="1" t="s">
        <v>242</v>
      </c>
      <c r="L81" s="11">
        <f>IF(HR_Attrition_Data[[#This Row],[Job Satisfaction]]="Low",1,IF(HR_Attrition_Data[[#This Row],[Job Satisfaction]]="Medium",2,3))</f>
        <v>3</v>
      </c>
      <c r="M81" s="1" t="s">
        <v>243</v>
      </c>
      <c r="N81" s="1">
        <f>IF(HR_Attrition_Data[[#This Row],[Attrition]]="Yes",1,0)</f>
        <v>0</v>
      </c>
      <c r="O81" s="1" t="str">
        <f>IF(HR_Attrition_Data[[#This Row],[Age]]&lt;25,"&lt;25",IF(HR_Attrition_Data[[#This Row],[Age]]&lt;=34,"25-34",IF(HR_Attrition_Data[[#This Row],[Age]]&lt;44,"35-44","45+")))</f>
        <v>&lt;25</v>
      </c>
      <c r="P81" t="str">
        <f>IF(HR_Attrition_Data[[#This Row],[Salary]]&lt;=50000,"Low",IF(HR_Attrition_Data[[#This Row],[Salary]]&lt;=100000,"Medium","High"))</f>
        <v>Medium</v>
      </c>
    </row>
    <row r="82" spans="1:16" x14ac:dyDescent="0.3">
      <c r="A82" s="1" t="s">
        <v>92</v>
      </c>
      <c r="B82" s="1" t="s">
        <v>192</v>
      </c>
      <c r="C82" s="3">
        <v>54</v>
      </c>
      <c r="D82" s="1" t="s">
        <v>212</v>
      </c>
      <c r="E82" s="1" t="s">
        <v>217</v>
      </c>
      <c r="F82" s="1" t="s">
        <v>223</v>
      </c>
      <c r="G82" s="1" t="s">
        <v>235</v>
      </c>
      <c r="H82" s="1" t="s">
        <v>219</v>
      </c>
      <c r="I82" s="1" t="s">
        <v>239</v>
      </c>
      <c r="J82" s="2">
        <v>46219</v>
      </c>
      <c r="K82" s="1" t="s">
        <v>241</v>
      </c>
      <c r="L82" s="11">
        <f>IF(HR_Attrition_Data[[#This Row],[Job Satisfaction]]="Low",1,IF(HR_Attrition_Data[[#This Row],[Job Satisfaction]]="Medium",2,3))</f>
        <v>1</v>
      </c>
      <c r="M82" s="1" t="s">
        <v>244</v>
      </c>
      <c r="N82" s="1">
        <f>IF(HR_Attrition_Data[[#This Row],[Attrition]]="Yes",1,0)</f>
        <v>1</v>
      </c>
      <c r="O82" s="1" t="str">
        <f>IF(HR_Attrition_Data[[#This Row],[Age]]&lt;25,"&lt;25",IF(HR_Attrition_Data[[#This Row],[Age]]&lt;=34,"25-34",IF(HR_Attrition_Data[[#This Row],[Age]]&lt;44,"35-44","45+")))</f>
        <v>45+</v>
      </c>
      <c r="P82" t="str">
        <f>IF(HR_Attrition_Data[[#This Row],[Salary]]&lt;=50000,"Low",IF(HR_Attrition_Data[[#This Row],[Salary]]&lt;=100000,"Medium","High"))</f>
        <v>Low</v>
      </c>
    </row>
    <row r="83" spans="1:16" x14ac:dyDescent="0.3">
      <c r="A83" s="1" t="s">
        <v>93</v>
      </c>
      <c r="B83" s="1" t="s">
        <v>193</v>
      </c>
      <c r="C83" s="3">
        <v>22</v>
      </c>
      <c r="D83" s="1" t="s">
        <v>213</v>
      </c>
      <c r="E83" s="1" t="s">
        <v>217</v>
      </c>
      <c r="F83" s="1" t="s">
        <v>228</v>
      </c>
      <c r="G83" s="1" t="s">
        <v>233</v>
      </c>
      <c r="H83" s="1" t="s">
        <v>236</v>
      </c>
      <c r="I83" s="1" t="s">
        <v>237</v>
      </c>
      <c r="J83" s="2">
        <v>67415</v>
      </c>
      <c r="K83" s="1" t="s">
        <v>242</v>
      </c>
      <c r="L83" s="11">
        <f>IF(HR_Attrition_Data[[#This Row],[Job Satisfaction]]="Low",1,IF(HR_Attrition_Data[[#This Row],[Job Satisfaction]]="Medium",2,3))</f>
        <v>3</v>
      </c>
      <c r="M83" s="1" t="s">
        <v>243</v>
      </c>
      <c r="N83" s="1">
        <f>IF(HR_Attrition_Data[[#This Row],[Attrition]]="Yes",1,0)</f>
        <v>0</v>
      </c>
      <c r="O83" s="1" t="str">
        <f>IF(HR_Attrition_Data[[#This Row],[Age]]&lt;25,"&lt;25",IF(HR_Attrition_Data[[#This Row],[Age]]&lt;=34,"25-34",IF(HR_Attrition_Data[[#This Row],[Age]]&lt;44,"35-44","45+")))</f>
        <v>&lt;25</v>
      </c>
      <c r="P83" t="str">
        <f>IF(HR_Attrition_Data[[#This Row],[Salary]]&lt;=50000,"Low",IF(HR_Attrition_Data[[#This Row],[Salary]]&lt;=100000,"Medium","High"))</f>
        <v>Medium</v>
      </c>
    </row>
    <row r="84" spans="1:16" x14ac:dyDescent="0.3">
      <c r="A84" s="1" t="s">
        <v>94</v>
      </c>
      <c r="B84" s="1" t="s">
        <v>194</v>
      </c>
      <c r="C84" s="3">
        <v>55</v>
      </c>
      <c r="D84" s="1" t="s">
        <v>213</v>
      </c>
      <c r="E84" s="1" t="s">
        <v>217</v>
      </c>
      <c r="F84" s="1" t="s">
        <v>223</v>
      </c>
      <c r="G84" s="1" t="s">
        <v>233</v>
      </c>
      <c r="H84" s="1" t="s">
        <v>215</v>
      </c>
      <c r="I84" s="1" t="s">
        <v>237</v>
      </c>
      <c r="J84" s="2">
        <v>68435</v>
      </c>
      <c r="K84" s="1" t="s">
        <v>241</v>
      </c>
      <c r="L84" s="11">
        <f>IF(HR_Attrition_Data[[#This Row],[Job Satisfaction]]="Low",1,IF(HR_Attrition_Data[[#This Row],[Job Satisfaction]]="Medium",2,3))</f>
        <v>1</v>
      </c>
      <c r="M84" s="1" t="s">
        <v>244</v>
      </c>
      <c r="N84" s="1">
        <f>IF(HR_Attrition_Data[[#This Row],[Attrition]]="Yes",1,0)</f>
        <v>1</v>
      </c>
      <c r="O84" s="1" t="str">
        <f>IF(HR_Attrition_Data[[#This Row],[Age]]&lt;25,"&lt;25",IF(HR_Attrition_Data[[#This Row],[Age]]&lt;=34,"25-34",IF(HR_Attrition_Data[[#This Row],[Age]]&lt;44,"35-44","45+")))</f>
        <v>45+</v>
      </c>
      <c r="P84" t="str">
        <f>IF(HR_Attrition_Data[[#This Row],[Salary]]&lt;=50000,"Low",IF(HR_Attrition_Data[[#This Row],[Salary]]&lt;=100000,"Medium","High"))</f>
        <v>Medium</v>
      </c>
    </row>
    <row r="85" spans="1:16" x14ac:dyDescent="0.3">
      <c r="A85" s="1" t="s">
        <v>95</v>
      </c>
      <c r="B85" s="1" t="s">
        <v>195</v>
      </c>
      <c r="C85" s="3">
        <v>35</v>
      </c>
      <c r="D85" s="1" t="s">
        <v>213</v>
      </c>
      <c r="E85" s="1" t="s">
        <v>214</v>
      </c>
      <c r="F85" s="1" t="s">
        <v>225</v>
      </c>
      <c r="G85" s="1" t="s">
        <v>233</v>
      </c>
      <c r="H85" s="1" t="s">
        <v>216</v>
      </c>
      <c r="I85" s="1" t="s">
        <v>238</v>
      </c>
      <c r="J85" s="2">
        <v>85882</v>
      </c>
      <c r="K85" s="1" t="s">
        <v>240</v>
      </c>
      <c r="L85" s="11">
        <f>IF(HR_Attrition_Data[[#This Row],[Job Satisfaction]]="Low",1,IF(HR_Attrition_Data[[#This Row],[Job Satisfaction]]="Medium",2,3))</f>
        <v>2</v>
      </c>
      <c r="M85" s="1" t="s">
        <v>244</v>
      </c>
      <c r="N85" s="1">
        <f>IF(HR_Attrition_Data[[#This Row],[Attrition]]="Yes",1,0)</f>
        <v>1</v>
      </c>
      <c r="O85" s="1" t="str">
        <f>IF(HR_Attrition_Data[[#This Row],[Age]]&lt;25,"&lt;25",IF(HR_Attrition_Data[[#This Row],[Age]]&lt;=34,"25-34",IF(HR_Attrition_Data[[#This Row],[Age]]&lt;44,"35-44","45+")))</f>
        <v>35-44</v>
      </c>
      <c r="P85" t="str">
        <f>IF(HR_Attrition_Data[[#This Row],[Salary]]&lt;=50000,"Low",IF(HR_Attrition_Data[[#This Row],[Salary]]&lt;=100000,"Medium","High"))</f>
        <v>Medium</v>
      </c>
    </row>
    <row r="86" spans="1:16" x14ac:dyDescent="0.3">
      <c r="A86" s="1" t="s">
        <v>96</v>
      </c>
      <c r="B86" s="1" t="s">
        <v>196</v>
      </c>
      <c r="C86" s="3">
        <v>48</v>
      </c>
      <c r="D86" s="1" t="s">
        <v>213</v>
      </c>
      <c r="E86" s="1" t="s">
        <v>214</v>
      </c>
      <c r="F86" s="1" t="s">
        <v>220</v>
      </c>
      <c r="G86" s="1" t="s">
        <v>234</v>
      </c>
      <c r="H86" s="1" t="s">
        <v>219</v>
      </c>
      <c r="I86" s="1" t="s">
        <v>237</v>
      </c>
      <c r="J86" s="2">
        <v>71094</v>
      </c>
      <c r="K86" s="1" t="s">
        <v>242</v>
      </c>
      <c r="L86" s="11">
        <f>IF(HR_Attrition_Data[[#This Row],[Job Satisfaction]]="Low",1,IF(HR_Attrition_Data[[#This Row],[Job Satisfaction]]="Medium",2,3))</f>
        <v>3</v>
      </c>
      <c r="M86" s="1" t="s">
        <v>243</v>
      </c>
      <c r="N86" s="1">
        <f>IF(HR_Attrition_Data[[#This Row],[Attrition]]="Yes",1,0)</f>
        <v>0</v>
      </c>
      <c r="O86" s="1" t="str">
        <f>IF(HR_Attrition_Data[[#This Row],[Age]]&lt;25,"&lt;25",IF(HR_Attrition_Data[[#This Row],[Age]]&lt;=34,"25-34",IF(HR_Attrition_Data[[#This Row],[Age]]&lt;44,"35-44","45+")))</f>
        <v>45+</v>
      </c>
      <c r="P86" t="str">
        <f>IF(HR_Attrition_Data[[#This Row],[Salary]]&lt;=50000,"Low",IF(HR_Attrition_Data[[#This Row],[Salary]]&lt;=100000,"Medium","High"))</f>
        <v>Medium</v>
      </c>
    </row>
    <row r="87" spans="1:16" x14ac:dyDescent="0.3">
      <c r="A87" s="1" t="s">
        <v>97</v>
      </c>
      <c r="B87" s="1" t="s">
        <v>197</v>
      </c>
      <c r="C87" s="3">
        <v>27</v>
      </c>
      <c r="D87" s="1" t="s">
        <v>212</v>
      </c>
      <c r="E87" s="1" t="s">
        <v>218</v>
      </c>
      <c r="F87" s="1" t="s">
        <v>226</v>
      </c>
      <c r="G87" s="1" t="s">
        <v>235</v>
      </c>
      <c r="H87" s="1" t="s">
        <v>215</v>
      </c>
      <c r="I87" s="1" t="s">
        <v>239</v>
      </c>
      <c r="J87" s="2">
        <v>103525</v>
      </c>
      <c r="K87" s="1" t="s">
        <v>240</v>
      </c>
      <c r="L87" s="11">
        <f>IF(HR_Attrition_Data[[#This Row],[Job Satisfaction]]="Low",1,IF(HR_Attrition_Data[[#This Row],[Job Satisfaction]]="Medium",2,3))</f>
        <v>2</v>
      </c>
      <c r="M87" s="1" t="s">
        <v>244</v>
      </c>
      <c r="N87" s="1">
        <f>IF(HR_Attrition_Data[[#This Row],[Attrition]]="Yes",1,0)</f>
        <v>1</v>
      </c>
      <c r="O87" s="1" t="str">
        <f>IF(HR_Attrition_Data[[#This Row],[Age]]&lt;25,"&lt;25",IF(HR_Attrition_Data[[#This Row],[Age]]&lt;=34,"25-34",IF(HR_Attrition_Data[[#This Row],[Age]]&lt;44,"35-44","45+")))</f>
        <v>25-34</v>
      </c>
      <c r="P87" t="str">
        <f>IF(HR_Attrition_Data[[#This Row],[Salary]]&lt;=50000,"Low",IF(HR_Attrition_Data[[#This Row],[Salary]]&lt;=100000,"Medium","High"))</f>
        <v>High</v>
      </c>
    </row>
    <row r="88" spans="1:16" x14ac:dyDescent="0.3">
      <c r="A88" s="1" t="s">
        <v>98</v>
      </c>
      <c r="B88" s="1" t="s">
        <v>198</v>
      </c>
      <c r="C88" s="3">
        <v>47</v>
      </c>
      <c r="D88" s="1" t="s">
        <v>212</v>
      </c>
      <c r="E88" s="1" t="s">
        <v>218</v>
      </c>
      <c r="F88" s="1" t="s">
        <v>230</v>
      </c>
      <c r="G88" s="1" t="s">
        <v>234</v>
      </c>
      <c r="H88" s="1" t="s">
        <v>219</v>
      </c>
      <c r="I88" s="1" t="s">
        <v>237</v>
      </c>
      <c r="J88" s="2">
        <v>32620</v>
      </c>
      <c r="K88" s="1" t="s">
        <v>240</v>
      </c>
      <c r="L88" s="11">
        <f>IF(HR_Attrition_Data[[#This Row],[Job Satisfaction]]="Low",1,IF(HR_Attrition_Data[[#This Row],[Job Satisfaction]]="Medium",2,3))</f>
        <v>2</v>
      </c>
      <c r="M88" s="1" t="s">
        <v>244</v>
      </c>
      <c r="N88" s="1">
        <f>IF(HR_Attrition_Data[[#This Row],[Attrition]]="Yes",1,0)</f>
        <v>1</v>
      </c>
      <c r="O88" s="1" t="str">
        <f>IF(HR_Attrition_Data[[#This Row],[Age]]&lt;25,"&lt;25",IF(HR_Attrition_Data[[#This Row],[Age]]&lt;=34,"25-34",IF(HR_Attrition_Data[[#This Row],[Age]]&lt;44,"35-44","45+")))</f>
        <v>45+</v>
      </c>
      <c r="P88" t="str">
        <f>IF(HR_Attrition_Data[[#This Row],[Salary]]&lt;=50000,"Low",IF(HR_Attrition_Data[[#This Row],[Salary]]&lt;=100000,"Medium","High"))</f>
        <v>Low</v>
      </c>
    </row>
    <row r="89" spans="1:16" x14ac:dyDescent="0.3">
      <c r="A89" s="1" t="s">
        <v>99</v>
      </c>
      <c r="B89" s="1" t="s">
        <v>199</v>
      </c>
      <c r="C89" s="3">
        <v>51</v>
      </c>
      <c r="D89" s="1" t="s">
        <v>213</v>
      </c>
      <c r="E89" s="1" t="s">
        <v>217</v>
      </c>
      <c r="F89" s="1" t="s">
        <v>223</v>
      </c>
      <c r="G89" s="1" t="s">
        <v>233</v>
      </c>
      <c r="H89" s="1" t="s">
        <v>236</v>
      </c>
      <c r="I89" s="1" t="s">
        <v>239</v>
      </c>
      <c r="J89" s="2">
        <v>12146</v>
      </c>
      <c r="K89" s="1" t="s">
        <v>242</v>
      </c>
      <c r="L89" s="11">
        <f>IF(HR_Attrition_Data[[#This Row],[Job Satisfaction]]="Low",1,IF(HR_Attrition_Data[[#This Row],[Job Satisfaction]]="Medium",2,3))</f>
        <v>3</v>
      </c>
      <c r="M89" s="1" t="s">
        <v>244</v>
      </c>
      <c r="N89" s="1">
        <f>IF(HR_Attrition_Data[[#This Row],[Attrition]]="Yes",1,0)</f>
        <v>1</v>
      </c>
      <c r="O89" s="1" t="str">
        <f>IF(HR_Attrition_Data[[#This Row],[Age]]&lt;25,"&lt;25",IF(HR_Attrition_Data[[#This Row],[Age]]&lt;=34,"25-34",IF(HR_Attrition_Data[[#This Row],[Age]]&lt;44,"35-44","45+")))</f>
        <v>45+</v>
      </c>
      <c r="P89" t="str">
        <f>IF(HR_Attrition_Data[[#This Row],[Salary]]&lt;=50000,"Low",IF(HR_Attrition_Data[[#This Row],[Salary]]&lt;=100000,"Medium","High"))</f>
        <v>Low</v>
      </c>
    </row>
    <row r="90" spans="1:16" x14ac:dyDescent="0.3">
      <c r="A90" s="1" t="s">
        <v>100</v>
      </c>
      <c r="B90" s="1" t="s">
        <v>200</v>
      </c>
      <c r="C90" s="3">
        <v>38</v>
      </c>
      <c r="D90" s="1" t="s">
        <v>212</v>
      </c>
      <c r="E90" s="1" t="s">
        <v>215</v>
      </c>
      <c r="F90" s="1" t="s">
        <v>221</v>
      </c>
      <c r="G90" s="1" t="s">
        <v>235</v>
      </c>
      <c r="H90" s="1" t="s">
        <v>216</v>
      </c>
      <c r="I90" s="1" t="s">
        <v>239</v>
      </c>
      <c r="J90" s="2">
        <v>8824</v>
      </c>
      <c r="K90" s="1" t="s">
        <v>241</v>
      </c>
      <c r="L90" s="11">
        <f>IF(HR_Attrition_Data[[#This Row],[Job Satisfaction]]="Low",1,IF(HR_Attrition_Data[[#This Row],[Job Satisfaction]]="Medium",2,3))</f>
        <v>1</v>
      </c>
      <c r="M90" s="1" t="s">
        <v>244</v>
      </c>
      <c r="N90" s="1">
        <f>IF(HR_Attrition_Data[[#This Row],[Attrition]]="Yes",1,0)</f>
        <v>1</v>
      </c>
      <c r="O90" s="1" t="str">
        <f>IF(HR_Attrition_Data[[#This Row],[Age]]&lt;25,"&lt;25",IF(HR_Attrition_Data[[#This Row],[Age]]&lt;=34,"25-34",IF(HR_Attrition_Data[[#This Row],[Age]]&lt;44,"35-44","45+")))</f>
        <v>35-44</v>
      </c>
      <c r="P90" t="str">
        <f>IF(HR_Attrition_Data[[#This Row],[Salary]]&lt;=50000,"Low",IF(HR_Attrition_Data[[#This Row],[Salary]]&lt;=100000,"Medium","High"))</f>
        <v>Low</v>
      </c>
    </row>
    <row r="91" spans="1:16" x14ac:dyDescent="0.3">
      <c r="A91" s="1" t="s">
        <v>101</v>
      </c>
      <c r="B91" s="1" t="s">
        <v>201</v>
      </c>
      <c r="C91" s="3">
        <v>27</v>
      </c>
      <c r="D91" s="1" t="s">
        <v>212</v>
      </c>
      <c r="E91" s="1" t="s">
        <v>219</v>
      </c>
      <c r="F91" s="1" t="s">
        <v>231</v>
      </c>
      <c r="G91" s="1" t="s">
        <v>234</v>
      </c>
      <c r="H91" s="1" t="s">
        <v>214</v>
      </c>
      <c r="I91" s="1" t="s">
        <v>238</v>
      </c>
      <c r="J91" s="2">
        <v>36025</v>
      </c>
      <c r="K91" s="1" t="s">
        <v>240</v>
      </c>
      <c r="L91" s="11">
        <f>IF(HR_Attrition_Data[[#This Row],[Job Satisfaction]]="Low",1,IF(HR_Attrition_Data[[#This Row],[Job Satisfaction]]="Medium",2,3))</f>
        <v>2</v>
      </c>
      <c r="M91" s="1" t="s">
        <v>244</v>
      </c>
      <c r="N91" s="1">
        <f>IF(HR_Attrition_Data[[#This Row],[Attrition]]="Yes",1,0)</f>
        <v>1</v>
      </c>
      <c r="O91" s="1" t="str">
        <f>IF(HR_Attrition_Data[[#This Row],[Age]]&lt;25,"&lt;25",IF(HR_Attrition_Data[[#This Row],[Age]]&lt;=34,"25-34",IF(HR_Attrition_Data[[#This Row],[Age]]&lt;44,"35-44","45+")))</f>
        <v>25-34</v>
      </c>
      <c r="P91" t="str">
        <f>IF(HR_Attrition_Data[[#This Row],[Salary]]&lt;=50000,"Low",IF(HR_Attrition_Data[[#This Row],[Salary]]&lt;=100000,"Medium","High"))</f>
        <v>Low</v>
      </c>
    </row>
    <row r="92" spans="1:16" x14ac:dyDescent="0.3">
      <c r="A92" s="1" t="s">
        <v>102</v>
      </c>
      <c r="B92" s="1" t="s">
        <v>202</v>
      </c>
      <c r="C92" s="3">
        <v>24</v>
      </c>
      <c r="D92" s="1" t="s">
        <v>212</v>
      </c>
      <c r="E92" s="1" t="s">
        <v>216</v>
      </c>
      <c r="F92" s="1" t="s">
        <v>222</v>
      </c>
      <c r="G92" s="1" t="s">
        <v>233</v>
      </c>
      <c r="H92" s="1" t="s">
        <v>219</v>
      </c>
      <c r="I92" s="1" t="s">
        <v>239</v>
      </c>
      <c r="J92" s="2">
        <v>58552</v>
      </c>
      <c r="K92" s="1" t="s">
        <v>240</v>
      </c>
      <c r="L92" s="11">
        <f>IF(HR_Attrition_Data[[#This Row],[Job Satisfaction]]="Low",1,IF(HR_Attrition_Data[[#This Row],[Job Satisfaction]]="Medium",2,3))</f>
        <v>2</v>
      </c>
      <c r="M92" s="1" t="s">
        <v>244</v>
      </c>
      <c r="N92" s="1">
        <f>IF(HR_Attrition_Data[[#This Row],[Attrition]]="Yes",1,0)</f>
        <v>1</v>
      </c>
      <c r="O92" s="1" t="str">
        <f>IF(HR_Attrition_Data[[#This Row],[Age]]&lt;25,"&lt;25",IF(HR_Attrition_Data[[#This Row],[Age]]&lt;=34,"25-34",IF(HR_Attrition_Data[[#This Row],[Age]]&lt;44,"35-44","45+")))</f>
        <v>&lt;25</v>
      </c>
      <c r="P92" t="str">
        <f>IF(HR_Attrition_Data[[#This Row],[Salary]]&lt;=50000,"Low",IF(HR_Attrition_Data[[#This Row],[Salary]]&lt;=100000,"Medium","High"))</f>
        <v>Medium</v>
      </c>
    </row>
    <row r="93" spans="1:16" x14ac:dyDescent="0.3">
      <c r="A93" s="1" t="s">
        <v>103</v>
      </c>
      <c r="B93" s="1" t="s">
        <v>203</v>
      </c>
      <c r="C93" s="3">
        <v>22</v>
      </c>
      <c r="D93" s="1" t="s">
        <v>213</v>
      </c>
      <c r="E93" s="1" t="s">
        <v>214</v>
      </c>
      <c r="F93" s="1" t="s">
        <v>220</v>
      </c>
      <c r="G93" s="1" t="s">
        <v>234</v>
      </c>
      <c r="H93" s="1" t="s">
        <v>216</v>
      </c>
      <c r="I93" s="1" t="s">
        <v>237</v>
      </c>
      <c r="J93" s="2">
        <v>39383</v>
      </c>
      <c r="K93" s="1" t="s">
        <v>241</v>
      </c>
      <c r="L93" s="11">
        <f>IF(HR_Attrition_Data[[#This Row],[Job Satisfaction]]="Low",1,IF(HR_Attrition_Data[[#This Row],[Job Satisfaction]]="Medium",2,3))</f>
        <v>1</v>
      </c>
      <c r="M93" s="1" t="s">
        <v>243</v>
      </c>
      <c r="N93" s="1">
        <f>IF(HR_Attrition_Data[[#This Row],[Attrition]]="Yes",1,0)</f>
        <v>0</v>
      </c>
      <c r="O93" s="1" t="str">
        <f>IF(HR_Attrition_Data[[#This Row],[Age]]&lt;25,"&lt;25",IF(HR_Attrition_Data[[#This Row],[Age]]&lt;=34,"25-34",IF(HR_Attrition_Data[[#This Row],[Age]]&lt;44,"35-44","45+")))</f>
        <v>&lt;25</v>
      </c>
      <c r="P93" t="str">
        <f>IF(HR_Attrition_Data[[#This Row],[Salary]]&lt;=50000,"Low",IF(HR_Attrition_Data[[#This Row],[Salary]]&lt;=100000,"Medium","High"))</f>
        <v>Low</v>
      </c>
    </row>
    <row r="94" spans="1:16" x14ac:dyDescent="0.3">
      <c r="A94" s="1" t="s">
        <v>104</v>
      </c>
      <c r="B94" s="1" t="s">
        <v>204</v>
      </c>
      <c r="C94" s="3">
        <v>41</v>
      </c>
      <c r="D94" s="1" t="s">
        <v>212</v>
      </c>
      <c r="E94" s="1" t="s">
        <v>218</v>
      </c>
      <c r="F94" s="1" t="s">
        <v>230</v>
      </c>
      <c r="G94" s="1" t="s">
        <v>235</v>
      </c>
      <c r="H94" s="1" t="s">
        <v>215</v>
      </c>
      <c r="I94" s="1" t="s">
        <v>237</v>
      </c>
      <c r="J94" s="2">
        <v>15715</v>
      </c>
      <c r="K94" s="1" t="s">
        <v>242</v>
      </c>
      <c r="L94" s="11">
        <f>IF(HR_Attrition_Data[[#This Row],[Job Satisfaction]]="Low",1,IF(HR_Attrition_Data[[#This Row],[Job Satisfaction]]="Medium",2,3))</f>
        <v>3</v>
      </c>
      <c r="M94" s="1" t="s">
        <v>243</v>
      </c>
      <c r="N94" s="1">
        <f>IF(HR_Attrition_Data[[#This Row],[Attrition]]="Yes",1,0)</f>
        <v>0</v>
      </c>
      <c r="O94" s="1" t="str">
        <f>IF(HR_Attrition_Data[[#This Row],[Age]]&lt;25,"&lt;25",IF(HR_Attrition_Data[[#This Row],[Age]]&lt;=34,"25-34",IF(HR_Attrition_Data[[#This Row],[Age]]&lt;44,"35-44","45+")))</f>
        <v>35-44</v>
      </c>
      <c r="P94" t="str">
        <f>IF(HR_Attrition_Data[[#This Row],[Salary]]&lt;=50000,"Low",IF(HR_Attrition_Data[[#This Row],[Salary]]&lt;=100000,"Medium","High"))</f>
        <v>Low</v>
      </c>
    </row>
    <row r="95" spans="1:16" x14ac:dyDescent="0.3">
      <c r="A95" s="1" t="s">
        <v>105</v>
      </c>
      <c r="B95" s="1" t="s">
        <v>205</v>
      </c>
      <c r="C95" s="3">
        <v>47</v>
      </c>
      <c r="D95" s="1" t="s">
        <v>213</v>
      </c>
      <c r="E95" s="1" t="s">
        <v>218</v>
      </c>
      <c r="F95" s="1" t="s">
        <v>226</v>
      </c>
      <c r="G95" s="1" t="s">
        <v>234</v>
      </c>
      <c r="H95" s="1" t="s">
        <v>216</v>
      </c>
      <c r="I95" s="1" t="s">
        <v>238</v>
      </c>
      <c r="J95" s="2">
        <v>78091</v>
      </c>
      <c r="K95" s="1" t="s">
        <v>242</v>
      </c>
      <c r="L95" s="11">
        <f>IF(HR_Attrition_Data[[#This Row],[Job Satisfaction]]="Low",1,IF(HR_Attrition_Data[[#This Row],[Job Satisfaction]]="Medium",2,3))</f>
        <v>3</v>
      </c>
      <c r="M95" s="1" t="s">
        <v>243</v>
      </c>
      <c r="N95" s="1">
        <f>IF(HR_Attrition_Data[[#This Row],[Attrition]]="Yes",1,0)</f>
        <v>0</v>
      </c>
      <c r="O95" s="1" t="str">
        <f>IF(HR_Attrition_Data[[#This Row],[Age]]&lt;25,"&lt;25",IF(HR_Attrition_Data[[#This Row],[Age]]&lt;=34,"25-34",IF(HR_Attrition_Data[[#This Row],[Age]]&lt;44,"35-44","45+")))</f>
        <v>45+</v>
      </c>
      <c r="P95" t="str">
        <f>IF(HR_Attrition_Data[[#This Row],[Salary]]&lt;=50000,"Low",IF(HR_Attrition_Data[[#This Row],[Salary]]&lt;=100000,"Medium","High"))</f>
        <v>Medium</v>
      </c>
    </row>
    <row r="96" spans="1:16" x14ac:dyDescent="0.3">
      <c r="A96" s="1" t="s">
        <v>106</v>
      </c>
      <c r="B96" s="1" t="s">
        <v>206</v>
      </c>
      <c r="C96" s="3">
        <v>27</v>
      </c>
      <c r="D96" s="1" t="s">
        <v>213</v>
      </c>
      <c r="E96" s="1" t="s">
        <v>219</v>
      </c>
      <c r="F96" s="1" t="s">
        <v>231</v>
      </c>
      <c r="G96" s="1" t="s">
        <v>235</v>
      </c>
      <c r="H96" s="1" t="s">
        <v>216</v>
      </c>
      <c r="I96" s="1" t="s">
        <v>238</v>
      </c>
      <c r="J96" s="2">
        <v>52052</v>
      </c>
      <c r="K96" s="1" t="s">
        <v>242</v>
      </c>
      <c r="L96" s="11">
        <f>IF(HR_Attrition_Data[[#This Row],[Job Satisfaction]]="Low",1,IF(HR_Attrition_Data[[#This Row],[Job Satisfaction]]="Medium",2,3))</f>
        <v>3</v>
      </c>
      <c r="M96" s="1" t="s">
        <v>243</v>
      </c>
      <c r="N96" s="1">
        <f>IF(HR_Attrition_Data[[#This Row],[Attrition]]="Yes",1,0)</f>
        <v>0</v>
      </c>
      <c r="O96" s="1" t="str">
        <f>IF(HR_Attrition_Data[[#This Row],[Age]]&lt;25,"&lt;25",IF(HR_Attrition_Data[[#This Row],[Age]]&lt;=34,"25-34",IF(HR_Attrition_Data[[#This Row],[Age]]&lt;44,"35-44","45+")))</f>
        <v>25-34</v>
      </c>
      <c r="P96" t="str">
        <f>IF(HR_Attrition_Data[[#This Row],[Salary]]&lt;=50000,"Low",IF(HR_Attrition_Data[[#This Row],[Salary]]&lt;=100000,"Medium","High"))</f>
        <v>Medium</v>
      </c>
    </row>
    <row r="97" spans="1:16" x14ac:dyDescent="0.3">
      <c r="A97" s="1" t="s">
        <v>107</v>
      </c>
      <c r="B97" s="1" t="s">
        <v>207</v>
      </c>
      <c r="C97" s="3">
        <v>51</v>
      </c>
      <c r="D97" s="1" t="s">
        <v>212</v>
      </c>
      <c r="E97" s="1" t="s">
        <v>216</v>
      </c>
      <c r="F97" s="1" t="s">
        <v>227</v>
      </c>
      <c r="G97" s="1" t="s">
        <v>234</v>
      </c>
      <c r="H97" s="1" t="s">
        <v>214</v>
      </c>
      <c r="I97" s="1" t="s">
        <v>239</v>
      </c>
      <c r="J97" s="2">
        <v>66810</v>
      </c>
      <c r="K97" s="1" t="s">
        <v>240</v>
      </c>
      <c r="L97" s="11">
        <f>IF(HR_Attrition_Data[[#This Row],[Job Satisfaction]]="Low",1,IF(HR_Attrition_Data[[#This Row],[Job Satisfaction]]="Medium",2,3))</f>
        <v>2</v>
      </c>
      <c r="M97" s="1" t="s">
        <v>244</v>
      </c>
      <c r="N97" s="1">
        <f>IF(HR_Attrition_Data[[#This Row],[Attrition]]="Yes",1,0)</f>
        <v>1</v>
      </c>
      <c r="O97" s="1" t="str">
        <f>IF(HR_Attrition_Data[[#This Row],[Age]]&lt;25,"&lt;25",IF(HR_Attrition_Data[[#This Row],[Age]]&lt;=34,"25-34",IF(HR_Attrition_Data[[#This Row],[Age]]&lt;44,"35-44","45+")))</f>
        <v>45+</v>
      </c>
      <c r="P97" t="str">
        <f>IF(HR_Attrition_Data[[#This Row],[Salary]]&lt;=50000,"Low",IF(HR_Attrition_Data[[#This Row],[Salary]]&lt;=100000,"Medium","High"))</f>
        <v>Medium</v>
      </c>
    </row>
    <row r="98" spans="1:16" x14ac:dyDescent="0.3">
      <c r="A98" s="1" t="s">
        <v>108</v>
      </c>
      <c r="B98" s="1" t="s">
        <v>208</v>
      </c>
      <c r="C98" s="3">
        <v>37</v>
      </c>
      <c r="D98" s="1" t="s">
        <v>212</v>
      </c>
      <c r="E98" s="1" t="s">
        <v>219</v>
      </c>
      <c r="F98" s="1" t="s">
        <v>232</v>
      </c>
      <c r="G98" s="1" t="s">
        <v>235</v>
      </c>
      <c r="H98" s="1" t="s">
        <v>214</v>
      </c>
      <c r="I98" s="1" t="s">
        <v>237</v>
      </c>
      <c r="J98" s="2">
        <v>47356</v>
      </c>
      <c r="K98" s="1" t="s">
        <v>240</v>
      </c>
      <c r="L98" s="11">
        <f>IF(HR_Attrition_Data[[#This Row],[Job Satisfaction]]="Low",1,IF(HR_Attrition_Data[[#This Row],[Job Satisfaction]]="Medium",2,3))</f>
        <v>2</v>
      </c>
      <c r="M98" s="1" t="s">
        <v>244</v>
      </c>
      <c r="N98" s="1">
        <f>IF(HR_Attrition_Data[[#This Row],[Attrition]]="Yes",1,0)</f>
        <v>1</v>
      </c>
      <c r="O98" s="1" t="str">
        <f>IF(HR_Attrition_Data[[#This Row],[Age]]&lt;25,"&lt;25",IF(HR_Attrition_Data[[#This Row],[Age]]&lt;=34,"25-34",IF(HR_Attrition_Data[[#This Row],[Age]]&lt;44,"35-44","45+")))</f>
        <v>35-44</v>
      </c>
      <c r="P98" t="str">
        <f>IF(HR_Attrition_Data[[#This Row],[Salary]]&lt;=50000,"Low",IF(HR_Attrition_Data[[#This Row],[Salary]]&lt;=100000,"Medium","High"))</f>
        <v>Low</v>
      </c>
    </row>
    <row r="99" spans="1:16" x14ac:dyDescent="0.3">
      <c r="A99" s="1" t="s">
        <v>109</v>
      </c>
      <c r="B99" s="1" t="s">
        <v>209</v>
      </c>
      <c r="C99" s="3">
        <v>41</v>
      </c>
      <c r="D99" s="1" t="s">
        <v>212</v>
      </c>
      <c r="E99" s="1" t="s">
        <v>216</v>
      </c>
      <c r="F99" s="1" t="s">
        <v>222</v>
      </c>
      <c r="G99" s="1" t="s">
        <v>235</v>
      </c>
      <c r="H99" s="1" t="s">
        <v>219</v>
      </c>
      <c r="I99" s="1" t="s">
        <v>239</v>
      </c>
      <c r="J99" s="2">
        <v>46359</v>
      </c>
      <c r="K99" s="1" t="s">
        <v>240</v>
      </c>
      <c r="L99" s="11">
        <f>IF(HR_Attrition_Data[[#This Row],[Job Satisfaction]]="Low",1,IF(HR_Attrition_Data[[#This Row],[Job Satisfaction]]="Medium",2,3))</f>
        <v>2</v>
      </c>
      <c r="M99" s="1" t="s">
        <v>244</v>
      </c>
      <c r="N99" s="1">
        <f>IF(HR_Attrition_Data[[#This Row],[Attrition]]="Yes",1,0)</f>
        <v>1</v>
      </c>
      <c r="O99" s="1" t="str">
        <f>IF(HR_Attrition_Data[[#This Row],[Age]]&lt;25,"&lt;25",IF(HR_Attrition_Data[[#This Row],[Age]]&lt;=34,"25-34",IF(HR_Attrition_Data[[#This Row],[Age]]&lt;44,"35-44","45+")))</f>
        <v>35-44</v>
      </c>
      <c r="P99" t="str">
        <f>IF(HR_Attrition_Data[[#This Row],[Salary]]&lt;=50000,"Low",IF(HR_Attrition_Data[[#This Row],[Salary]]&lt;=100000,"Medium","High"))</f>
        <v>Low</v>
      </c>
    </row>
    <row r="100" spans="1:16" x14ac:dyDescent="0.3">
      <c r="A100" s="1" t="s">
        <v>110</v>
      </c>
      <c r="B100" s="1" t="s">
        <v>210</v>
      </c>
      <c r="C100" s="3">
        <v>29</v>
      </c>
      <c r="D100" s="1" t="s">
        <v>212</v>
      </c>
      <c r="E100" s="1" t="s">
        <v>219</v>
      </c>
      <c r="F100" s="1" t="s">
        <v>232</v>
      </c>
      <c r="G100" s="1" t="s">
        <v>234</v>
      </c>
      <c r="H100" s="1" t="s">
        <v>216</v>
      </c>
      <c r="I100" s="1" t="s">
        <v>237</v>
      </c>
      <c r="J100" s="2">
        <v>46760</v>
      </c>
      <c r="K100" s="1" t="s">
        <v>240</v>
      </c>
      <c r="L100" s="11">
        <f>IF(HR_Attrition_Data[[#This Row],[Job Satisfaction]]="Low",1,IF(HR_Attrition_Data[[#This Row],[Job Satisfaction]]="Medium",2,3))</f>
        <v>2</v>
      </c>
      <c r="M100" s="1" t="s">
        <v>244</v>
      </c>
      <c r="N100" s="1">
        <f>IF(HR_Attrition_Data[[#This Row],[Attrition]]="Yes",1,0)</f>
        <v>1</v>
      </c>
      <c r="O100" s="1" t="str">
        <f>IF(HR_Attrition_Data[[#This Row],[Age]]&lt;25,"&lt;25",IF(HR_Attrition_Data[[#This Row],[Age]]&lt;=34,"25-34",IF(HR_Attrition_Data[[#This Row],[Age]]&lt;44,"35-44","45+")))</f>
        <v>25-34</v>
      </c>
      <c r="P100" t="str">
        <f>IF(HR_Attrition_Data[[#This Row],[Salary]]&lt;=50000,"Low",IF(HR_Attrition_Data[[#This Row],[Salary]]&lt;=100000,"Medium","High"))</f>
        <v>Low</v>
      </c>
    </row>
    <row r="101" spans="1:16" x14ac:dyDescent="0.3">
      <c r="A101" s="1" t="s">
        <v>111</v>
      </c>
      <c r="B101" s="1" t="s">
        <v>211</v>
      </c>
      <c r="C101" s="3">
        <v>41</v>
      </c>
      <c r="D101" s="1" t="s">
        <v>213</v>
      </c>
      <c r="E101" s="1" t="s">
        <v>219</v>
      </c>
      <c r="F101" s="1" t="s">
        <v>232</v>
      </c>
      <c r="G101" s="1" t="s">
        <v>235</v>
      </c>
      <c r="H101" s="1" t="s">
        <v>236</v>
      </c>
      <c r="I101" s="1" t="s">
        <v>237</v>
      </c>
      <c r="J101" s="2">
        <v>90898</v>
      </c>
      <c r="K101" s="1" t="s">
        <v>242</v>
      </c>
      <c r="L101" s="11">
        <f>IF(HR_Attrition_Data[[#This Row],[Job Satisfaction]]="Low",1,IF(HR_Attrition_Data[[#This Row],[Job Satisfaction]]="Medium",2,3))</f>
        <v>3</v>
      </c>
      <c r="M101" s="1" t="s">
        <v>243</v>
      </c>
      <c r="N101" s="1">
        <f>IF(HR_Attrition_Data[[#This Row],[Attrition]]="Yes",1,0)</f>
        <v>0</v>
      </c>
      <c r="O101" s="1" t="str">
        <f>IF(HR_Attrition_Data[[#This Row],[Age]]&lt;25,"&lt;25",IF(HR_Attrition_Data[[#This Row],[Age]]&lt;=34,"25-34",IF(HR_Attrition_Data[[#This Row],[Age]]&lt;44,"35-44","45+")))</f>
        <v>35-44</v>
      </c>
      <c r="P101" t="str">
        <f>IF(HR_Attrition_Data[[#This Row],[Salary]]&lt;=50000,"Low",IF(HR_Attrition_Data[[#This Row],[Salary]]&lt;=100000,"Medium","High"))</f>
        <v>Medium</v>
      </c>
    </row>
  </sheetData>
  <dataValidations count="1">
    <dataValidation type="list" allowBlank="1" showInputMessage="1" showErrorMessage="1" sqref="M93:M101 M2:M91" xr:uid="{A44DD1BC-C4CE-46EC-9F4B-BF32CDE1A960}">
      <formula1>$M$2:$M$101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139F-AD4A-4C84-BED0-B5FDF6D08334}">
  <dimension ref="C2:N7"/>
  <sheetViews>
    <sheetView workbookViewId="0">
      <selection activeCell="E25" sqref="E25"/>
    </sheetView>
  </sheetViews>
  <sheetFormatPr defaultRowHeight="14" x14ac:dyDescent="0.3"/>
  <sheetData>
    <row r="2" spans="3:14" x14ac:dyDescent="0.3">
      <c r="C2" t="s">
        <v>259</v>
      </c>
      <c r="F2" t="s">
        <v>248</v>
      </c>
      <c r="H2" t="s">
        <v>260</v>
      </c>
      <c r="K2" t="s">
        <v>249</v>
      </c>
      <c r="M2" s="17" t="s">
        <v>250</v>
      </c>
      <c r="N2" s="17"/>
    </row>
    <row r="3" spans="3:14" x14ac:dyDescent="0.3">
      <c r="M3" s="17"/>
      <c r="N3" s="17"/>
    </row>
    <row r="4" spans="3:14" x14ac:dyDescent="0.3">
      <c r="C4">
        <f>ROWS(HR_Attrition_Data[])</f>
        <v>100</v>
      </c>
      <c r="F4">
        <f>SUM(HR_Attrition_Data[Attrition Flag])</f>
        <v>57</v>
      </c>
      <c r="H4" s="9">
        <f>F4/C4</f>
        <v>0.56999999999999995</v>
      </c>
      <c r="K4">
        <f>AVERAGE(HR_Attrition_Data[Age])</f>
        <v>40.82</v>
      </c>
      <c r="M4" s="17">
        <f>AVERAGE(HR_Attrition_Data[Job Satisfaction Flag])</f>
        <v>2.2999999999999998</v>
      </c>
      <c r="N4" s="17"/>
    </row>
    <row r="5" spans="3:14" x14ac:dyDescent="0.3">
      <c r="H5" s="9"/>
    </row>
    <row r="7" spans="3:14" x14ac:dyDescent="0.3">
      <c r="F7"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23399-EC0C-4608-9F4A-95B606774393}">
  <dimension ref="A3:L24"/>
  <sheetViews>
    <sheetView topLeftCell="A3" workbookViewId="0">
      <selection activeCell="A20" sqref="A20:B24"/>
    </sheetView>
  </sheetViews>
  <sheetFormatPr defaultRowHeight="14" x14ac:dyDescent="0.3"/>
  <cols>
    <col min="1" max="1" width="11.75" bestFit="1" customWidth="1"/>
    <col min="2" max="3" width="18" bestFit="1" customWidth="1"/>
    <col min="4" max="4" width="10.6640625" customWidth="1"/>
    <col min="5" max="5" width="16.33203125" bestFit="1" customWidth="1"/>
    <col min="6" max="6" width="17" bestFit="1" customWidth="1"/>
    <col min="7" max="7" width="12" customWidth="1"/>
    <col min="8" max="8" width="11.75" bestFit="1" customWidth="1"/>
    <col min="9" max="9" width="17" bestFit="1" customWidth="1"/>
    <col min="11" max="11" width="11.75" bestFit="1" customWidth="1"/>
    <col min="12" max="12" width="18.33203125" bestFit="1" customWidth="1"/>
  </cols>
  <sheetData>
    <row r="3" spans="1:12" x14ac:dyDescent="0.3">
      <c r="A3" s="12" t="s">
        <v>252</v>
      </c>
      <c r="B3" t="s">
        <v>254</v>
      </c>
      <c r="E3" s="12" t="s">
        <v>252</v>
      </c>
      <c r="F3" t="s">
        <v>254</v>
      </c>
      <c r="G3" s="12"/>
      <c r="H3" s="12" t="s">
        <v>252</v>
      </c>
      <c r="I3" t="s">
        <v>254</v>
      </c>
      <c r="K3" s="12" t="s">
        <v>252</v>
      </c>
      <c r="L3" t="s">
        <v>258</v>
      </c>
    </row>
    <row r="4" spans="1:12" x14ac:dyDescent="0.3">
      <c r="A4" s="13" t="s">
        <v>219</v>
      </c>
      <c r="B4" s="14">
        <v>8</v>
      </c>
      <c r="E4" s="13" t="s">
        <v>231</v>
      </c>
      <c r="F4" s="14">
        <v>4</v>
      </c>
      <c r="H4" s="13" t="s">
        <v>257</v>
      </c>
      <c r="I4" s="14">
        <v>6</v>
      </c>
      <c r="K4" s="13" t="s">
        <v>238</v>
      </c>
      <c r="L4" s="14">
        <v>29</v>
      </c>
    </row>
    <row r="5" spans="1:12" x14ac:dyDescent="0.3">
      <c r="A5" s="13" t="s">
        <v>215</v>
      </c>
      <c r="B5" s="14">
        <v>6</v>
      </c>
      <c r="E5" s="13" t="s">
        <v>222</v>
      </c>
      <c r="F5" s="14">
        <v>5</v>
      </c>
      <c r="H5" s="13" t="s">
        <v>251</v>
      </c>
      <c r="I5" s="14">
        <v>10</v>
      </c>
      <c r="K5" s="13" t="s">
        <v>239</v>
      </c>
      <c r="L5" s="14">
        <v>31</v>
      </c>
    </row>
    <row r="6" spans="1:12" x14ac:dyDescent="0.3">
      <c r="A6" s="13" t="s">
        <v>216</v>
      </c>
      <c r="B6" s="14">
        <v>12</v>
      </c>
      <c r="E6" s="13" t="s">
        <v>232</v>
      </c>
      <c r="F6" s="14">
        <v>4</v>
      </c>
      <c r="H6" s="13" t="s">
        <v>255</v>
      </c>
      <c r="I6" s="14">
        <v>17</v>
      </c>
      <c r="K6" s="13" t="s">
        <v>237</v>
      </c>
      <c r="L6" s="14">
        <v>40</v>
      </c>
    </row>
    <row r="7" spans="1:12" x14ac:dyDescent="0.3">
      <c r="A7" s="13" t="s">
        <v>214</v>
      </c>
      <c r="B7" s="14">
        <v>8</v>
      </c>
      <c r="E7" s="13" t="s">
        <v>224</v>
      </c>
      <c r="F7" s="14">
        <v>2</v>
      </c>
      <c r="H7" s="13" t="s">
        <v>256</v>
      </c>
      <c r="I7" s="14">
        <v>24</v>
      </c>
      <c r="K7" s="13" t="s">
        <v>253</v>
      </c>
      <c r="L7" s="14">
        <v>100</v>
      </c>
    </row>
    <row r="8" spans="1:12" x14ac:dyDescent="0.3">
      <c r="A8" s="13" t="s">
        <v>217</v>
      </c>
      <c r="B8" s="14">
        <v>10</v>
      </c>
      <c r="E8" s="13" t="s">
        <v>229</v>
      </c>
      <c r="F8" s="14">
        <v>1</v>
      </c>
      <c r="H8" s="13" t="s">
        <v>253</v>
      </c>
      <c r="I8" s="14">
        <v>57</v>
      </c>
    </row>
    <row r="9" spans="1:12" x14ac:dyDescent="0.3">
      <c r="A9" s="13" t="s">
        <v>218</v>
      </c>
      <c r="B9" s="14">
        <v>13</v>
      </c>
      <c r="E9" s="13" t="s">
        <v>220</v>
      </c>
      <c r="F9" s="14">
        <v>2</v>
      </c>
    </row>
    <row r="10" spans="1:12" x14ac:dyDescent="0.3">
      <c r="A10" s="13" t="s">
        <v>253</v>
      </c>
      <c r="B10" s="14">
        <v>57</v>
      </c>
      <c r="E10" s="13" t="s">
        <v>223</v>
      </c>
      <c r="F10" s="14">
        <v>8</v>
      </c>
    </row>
    <row r="11" spans="1:12" x14ac:dyDescent="0.3">
      <c r="E11" s="13" t="s">
        <v>228</v>
      </c>
      <c r="F11" s="14">
        <v>2</v>
      </c>
      <c r="H11" s="12" t="s">
        <v>252</v>
      </c>
      <c r="I11" t="s">
        <v>254</v>
      </c>
    </row>
    <row r="12" spans="1:12" x14ac:dyDescent="0.3">
      <c r="E12" s="13" t="s">
        <v>221</v>
      </c>
      <c r="F12" s="14">
        <v>3</v>
      </c>
      <c r="H12" s="13" t="s">
        <v>236</v>
      </c>
      <c r="I12" s="14">
        <v>8</v>
      </c>
    </row>
    <row r="13" spans="1:12" x14ac:dyDescent="0.3">
      <c r="E13" s="13" t="s">
        <v>226</v>
      </c>
      <c r="F13" s="14">
        <v>8</v>
      </c>
      <c r="H13" s="13" t="s">
        <v>219</v>
      </c>
      <c r="I13" s="14">
        <v>15</v>
      </c>
    </row>
    <row r="14" spans="1:12" x14ac:dyDescent="0.3">
      <c r="A14" s="12" t="s">
        <v>252</v>
      </c>
      <c r="B14" t="s">
        <v>254</v>
      </c>
      <c r="C14" s="12"/>
      <c r="D14" s="12"/>
      <c r="E14" s="13" t="s">
        <v>230</v>
      </c>
      <c r="F14" s="14">
        <v>5</v>
      </c>
      <c r="G14" s="12"/>
      <c r="H14" s="13" t="s">
        <v>215</v>
      </c>
      <c r="I14" s="14">
        <v>9</v>
      </c>
      <c r="J14" s="12"/>
      <c r="K14" s="12"/>
      <c r="L14" s="12"/>
    </row>
    <row r="15" spans="1:12" x14ac:dyDescent="0.3">
      <c r="A15" s="13" t="s">
        <v>212</v>
      </c>
      <c r="B15" s="14">
        <v>26</v>
      </c>
      <c r="E15" s="13" t="s">
        <v>225</v>
      </c>
      <c r="F15" s="14">
        <v>6</v>
      </c>
      <c r="H15" s="13" t="s">
        <v>216</v>
      </c>
      <c r="I15" s="14">
        <v>13</v>
      </c>
    </row>
    <row r="16" spans="1:12" x14ac:dyDescent="0.3">
      <c r="A16" s="13" t="s">
        <v>213</v>
      </c>
      <c r="B16" s="14">
        <v>31</v>
      </c>
      <c r="E16" s="13" t="s">
        <v>227</v>
      </c>
      <c r="F16" s="14">
        <v>7</v>
      </c>
      <c r="H16" s="13" t="s">
        <v>214</v>
      </c>
      <c r="I16" s="14">
        <v>12</v>
      </c>
    </row>
    <row r="17" spans="1:9" x14ac:dyDescent="0.3">
      <c r="A17" s="13" t="s">
        <v>253</v>
      </c>
      <c r="B17" s="14">
        <v>57</v>
      </c>
      <c r="E17" s="13" t="s">
        <v>253</v>
      </c>
      <c r="F17" s="14">
        <v>57</v>
      </c>
      <c r="H17" s="13" t="s">
        <v>253</v>
      </c>
      <c r="I17" s="14">
        <v>57</v>
      </c>
    </row>
    <row r="19" spans="1:9" x14ac:dyDescent="0.3">
      <c r="I19" s="12"/>
    </row>
    <row r="20" spans="1:9" x14ac:dyDescent="0.3">
      <c r="A20" s="12" t="s">
        <v>252</v>
      </c>
      <c r="B20" t="s">
        <v>261</v>
      </c>
      <c r="D20" s="12"/>
      <c r="E20" s="12"/>
      <c r="F20" s="12"/>
      <c r="G20" s="12"/>
      <c r="H20" s="12"/>
      <c r="I20" s="12"/>
    </row>
    <row r="21" spans="1:9" x14ac:dyDescent="0.3">
      <c r="A21" s="13" t="s">
        <v>242</v>
      </c>
      <c r="B21" s="14">
        <v>25</v>
      </c>
    </row>
    <row r="22" spans="1:9" x14ac:dyDescent="0.3">
      <c r="A22" s="13" t="s">
        <v>241</v>
      </c>
      <c r="B22" s="14">
        <v>6</v>
      </c>
    </row>
    <row r="23" spans="1:9" x14ac:dyDescent="0.3">
      <c r="A23" s="13" t="s">
        <v>240</v>
      </c>
      <c r="B23" s="14">
        <v>26</v>
      </c>
    </row>
    <row r="24" spans="1:9" x14ac:dyDescent="0.3">
      <c r="A24" s="13" t="s">
        <v>253</v>
      </c>
      <c r="B24" s="14">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DC1D-6EDB-48F5-AB9F-B501506310AF}">
  <dimension ref="F7:P8"/>
  <sheetViews>
    <sheetView tabSelected="1" topLeftCell="J7" workbookViewId="0">
      <selection activeCell="X8" sqref="X8"/>
    </sheetView>
  </sheetViews>
  <sheetFormatPr defaultRowHeight="14" x14ac:dyDescent="0.3"/>
  <cols>
    <col min="1" max="16384" width="8.6640625" style="15"/>
  </cols>
  <sheetData>
    <row r="7" spans="6:16" x14ac:dyDescent="0.3">
      <c r="F7" s="18"/>
    </row>
    <row r="8" spans="6:16" x14ac:dyDescent="0.3">
      <c r="P8"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Calculation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Chaudhary</dc:creator>
  <cp:lastModifiedBy>Anshu Chaudhary</cp:lastModifiedBy>
  <dcterms:created xsi:type="dcterms:W3CDTF">2026-05-21T04:29:22Z</dcterms:created>
  <dcterms:modified xsi:type="dcterms:W3CDTF">2026-05-25T10:07:58Z</dcterms:modified>
</cp:coreProperties>
</file>